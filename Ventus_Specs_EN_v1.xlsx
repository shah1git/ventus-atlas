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Product List" sheetId="1" state="visible" r:id="rId1"/>
    <sheet xmlns:r="http://schemas.openxmlformats.org/officeDocument/2006/relationships" name="FFP1-8" sheetId="2" state="visible" r:id="rId2"/>
    <sheet xmlns:r="http://schemas.openxmlformats.org/officeDocument/2006/relationships" name="SFP1-8" sheetId="3" state="visible" r:id="rId3"/>
    <sheet xmlns:r="http://schemas.openxmlformats.org/officeDocument/2006/relationships" name="FFP1-10" sheetId="4" state="visible" r:id="rId4"/>
    <sheet xmlns:r="http://schemas.openxmlformats.org/officeDocument/2006/relationships" name="SFP1-10" sheetId="5" state="visible" r:id="rId5"/>
    <sheet xmlns:r="http://schemas.openxmlformats.org/officeDocument/2006/relationships" name="FFP2-16(2-12)" sheetId="6" state="visible" r:id="rId6"/>
    <sheet xmlns:r="http://schemas.openxmlformats.org/officeDocument/2006/relationships" name="SFP2-16(2-12)" sheetId="7" state="visible" r:id="rId7"/>
    <sheet xmlns:r="http://schemas.openxmlformats.org/officeDocument/2006/relationships" name="FFP2.5-20(2.5-15)(3-18)" sheetId="8" state="visible" r:id="rId8"/>
    <sheet xmlns:r="http://schemas.openxmlformats.org/officeDocument/2006/relationships" name="SFP2.5-20(2.5-15)(3-18)" sheetId="9" state="visible" r:id="rId9"/>
    <sheet xmlns:r="http://schemas.openxmlformats.org/officeDocument/2006/relationships" name="FFP3-24(4-24)" sheetId="10" state="visible" r:id="rId10"/>
    <sheet xmlns:r="http://schemas.openxmlformats.org/officeDocument/2006/relationships" name="SFP3-24(4-24)" sheetId="11" state="visible" r:id="rId11"/>
    <sheet xmlns:r="http://schemas.openxmlformats.org/officeDocument/2006/relationships" name="FFP3.125-25(5-25)" sheetId="12" state="visible" r:id="rId12"/>
    <sheet xmlns:r="http://schemas.openxmlformats.org/officeDocument/2006/relationships" name="SFP3.125-25(5-25)" sheetId="13" state="visible" r:id="rId13"/>
    <sheet xmlns:r="http://schemas.openxmlformats.org/officeDocument/2006/relationships" name="FFP4-32(5-25)(5-30)" sheetId="14" state="visible" r:id="rId14"/>
    <sheet xmlns:r="http://schemas.openxmlformats.org/officeDocument/2006/relationships" name="FFP5-40X56(6-36)(7-35)" sheetId="15" state="visible" r:id="rId15"/>
    <sheet xmlns:r="http://schemas.openxmlformats.org/officeDocument/2006/relationships" name="FFP5-40X60(6-36)(7-35)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color theme="1"/>
      <sz val="11"/>
      <scheme val="minor"/>
    </font>
    <font>
      <name val="宋体"/>
      <charset val="134"/>
      <b val="1"/>
      <color theme="1"/>
      <sz val="18"/>
      <scheme val="minor"/>
    </font>
    <font>
      <name val="宋体"/>
      <charset val="134"/>
      <color theme="1"/>
      <sz val="12"/>
    </font>
    <font>
      <name val="SimSun"/>
      <charset val="134"/>
      <sz val="11"/>
    </font>
    <font>
      <name val="Arial"/>
      <charset val="134"/>
      <color rgb="FF000000"/>
      <sz val="11"/>
    </font>
    <font>
      <name val="宋体"/>
      <charset val="134"/>
      <b val="1"/>
      <color theme="1"/>
      <sz val="14"/>
      <scheme val="minor"/>
    </font>
    <font>
      <name val="宋体"/>
      <charset val="134"/>
      <color theme="1"/>
      <sz val="12"/>
      <scheme val="minor"/>
    </font>
    <font>
      <name val="宋体"/>
      <charset val="134"/>
      <b val="1"/>
      <color theme="1"/>
      <sz val="16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8" fillId="0" borderId="0" applyAlignment="1">
      <alignment vertical="center"/>
    </xf>
    <xf numFmtId="0" fontId="0" fillId="2" borderId="6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7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5" fillId="0" borderId="0" applyAlignment="1">
      <alignment vertical="center"/>
    </xf>
    <xf numFmtId="0" fontId="16" fillId="3" borderId="9" applyAlignment="1">
      <alignment vertical="center"/>
    </xf>
    <xf numFmtId="0" fontId="17" fillId="4" borderId="10" applyAlignment="1">
      <alignment vertical="center"/>
    </xf>
    <xf numFmtId="0" fontId="18" fillId="4" borderId="9" applyAlignment="1">
      <alignment vertical="center"/>
    </xf>
    <xf numFmtId="0" fontId="19" fillId="5" borderId="11" applyAlignment="1">
      <alignment vertical="center"/>
    </xf>
    <xf numFmtId="0" fontId="20" fillId="0" borderId="12" applyAlignment="1">
      <alignment vertical="center"/>
    </xf>
    <xf numFmtId="0" fontId="21" fillId="0" borderId="13" applyAlignment="1">
      <alignment vertical="center"/>
    </xf>
    <xf numFmtId="0" fontId="22" fillId="6" borderId="0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</cellStyleXfs>
  <cellXfs count="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8" fillId="0" borderId="1" applyAlignment="1" pivotButton="0" quotePrefix="0" xfId="6">
      <alignment horizontal="center" vertical="center"/>
    </xf>
    <xf numFmtId="0" fontId="9" fillId="0" borderId="1" applyAlignment="1" pivotButton="0" quotePrefix="0" xfId="6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9" fillId="0" borderId="4" applyAlignment="1" pivotButton="0" quotePrefix="0" xfId="6">
      <alignment horizontal="center" vertical="center"/>
    </xf>
    <xf numFmtId="0" fontId="9" fillId="0" borderId="5" applyAlignment="1" pivotButton="0" quotePrefix="0" xfId="6">
      <alignment horizontal="center" vertical="center"/>
    </xf>
    <xf numFmtId="0" fontId="9" fillId="0" borderId="3" applyAlignment="1" pivotButton="0" quotePrefix="0" xfId="6">
      <alignment horizontal="center" vertical="center"/>
    </xf>
    <xf numFmtId="0" fontId="8" fillId="0" borderId="1" applyAlignment="1" pivotButton="0" quotePrefix="1" xfId="6">
      <alignment horizontal="center" vertical="center"/>
    </xf>
    <xf numFmtId="0" fontId="9" fillId="0" borderId="1" applyAlignment="1" pivotButton="0" quotePrefix="1" xfId="6">
      <alignment horizontal="center" vertical="center"/>
    </xf>
    <xf numFmtId="0" fontId="9" fillId="0" borderId="4" applyAlignment="1" pivotButton="0" quotePrefix="1" xfId="6">
      <alignment horizontal="center" vertical="center"/>
    </xf>
    <xf numFmtId="0" fontId="0" fillId="0" borderId="1" applyAlignment="1" pivotButton="0" quotePrefix="1" xfId="0">
      <alignment horizontal="center"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="115" zoomScaleNormal="115" workbookViewId="0">
      <selection activeCell="M11" sqref="M11"/>
    </sheetView>
  </sheetViews>
  <sheetFormatPr baseColWidth="8" defaultColWidth="9" defaultRowHeight="13.5"/>
  <cols>
    <col width="1.875" customWidth="1" style="31" min="1" max="1"/>
    <col width="6.125" customWidth="1" style="31" min="2" max="2"/>
    <col width="11.125" customWidth="1" style="31" min="3" max="3"/>
    <col width="13.875" customWidth="1" style="31" min="4" max="4"/>
    <col width="8.625" customWidth="1" style="31" min="5" max="5"/>
    <col width="23.625" customWidth="1" style="31" min="6" max="8"/>
    <col width="30.375" customWidth="1" style="31" min="9" max="9"/>
  </cols>
  <sheetData>
    <row r="1">
      <c r="B1" s="16" t="inlineStr">
        <is>
          <t>Ventus Product List &amp; Reticle Pattern Selection</t>
        </is>
      </c>
      <c r="C1" s="32" t="n"/>
      <c r="D1" s="32" t="n"/>
      <c r="E1" s="32" t="n"/>
      <c r="F1" s="32" t="n"/>
      <c r="G1" s="32" t="n"/>
      <c r="H1" s="32" t="n"/>
      <c r="I1" s="33" t="n"/>
    </row>
    <row r="2">
      <c r="B2" s="34" t="n"/>
      <c r="C2" s="35" t="n"/>
      <c r="D2" s="35" t="n"/>
      <c r="E2" s="35" t="n"/>
      <c r="F2" s="35" t="n"/>
      <c r="G2" s="35" t="n"/>
      <c r="H2" s="35" t="n"/>
      <c r="I2" s="36" t="n"/>
    </row>
    <row r="3" ht="14.25" customHeight="1" s="31">
      <c r="B3" s="18" t="inlineStr">
        <is>
          <t>№</t>
        </is>
      </c>
      <c r="C3" s="17" t="inlineStr">
        <is>
          <t>Focal Plane</t>
        </is>
      </c>
      <c r="D3" s="17" t="inlineStr">
        <is>
          <t>Model</t>
        </is>
      </c>
      <c r="E3" s="18" t="inlineStr">
        <is>
          <t>Tube Dia
(mm)</t>
        </is>
      </c>
      <c r="F3" s="17" t="inlineStr">
        <is>
          <t>Reticle Pattern</t>
        </is>
      </c>
      <c r="G3" s="37" t="n"/>
      <c r="H3" s="38" t="n"/>
      <c r="I3" s="17" t="inlineStr">
        <is>
          <t>Spec Link</t>
        </is>
      </c>
    </row>
    <row r="4" ht="24" customHeight="1" s="31">
      <c r="B4" s="39" t="n"/>
      <c r="C4" s="39" t="n"/>
      <c r="D4" s="39" t="n"/>
      <c r="E4" s="39" t="n"/>
      <c r="F4" s="16" t="inlineStr">
        <is>
          <t>MOA</t>
        </is>
      </c>
      <c r="G4" s="16" t="inlineStr">
        <is>
          <t>Mil</t>
        </is>
      </c>
      <c r="H4" s="16" t="inlineStr">
        <is>
          <t>Fiber</t>
        </is>
      </c>
      <c r="I4" s="39" t="n"/>
    </row>
    <row r="5" ht="127.55" customHeight="1" s="31">
      <c r="B5" s="3" t="n">
        <v>1</v>
      </c>
      <c r="C5" s="19" t="inlineStr">
        <is>
          <t>FFP</t>
        </is>
      </c>
      <c r="D5" s="3" t="inlineStr">
        <is>
          <t>1-8X24</t>
        </is>
      </c>
      <c r="E5" s="3" t="n">
        <v>30</v>
      </c>
      <c r="F5" s="3">
        <f>_xlfn.DISPIMG("ID_4548E300BBA240CABABD843D5A5B898D",1)</f>
        <v/>
      </c>
      <c r="G5" s="3">
        <f>_xlfn.DISPIMG("ID_0929E5A84D764C2095932026EAC29696",1)</f>
        <v/>
      </c>
      <c r="H5" s="3" t="inlineStr">
        <is>
          <t>FFP — no fiber</t>
        </is>
      </c>
      <c r="I5" s="27" t="inlineStr">
        <is>
          <t>FFP1-8'!A1</t>
        </is>
      </c>
    </row>
    <row r="6" ht="127.55" customHeight="1" s="31">
      <c r="B6" s="3" t="n">
        <v>2</v>
      </c>
      <c r="C6" s="39" t="n"/>
      <c r="D6" s="3" t="inlineStr">
        <is>
          <t>1-8X26</t>
        </is>
      </c>
      <c r="E6" s="3" t="n">
        <v>34</v>
      </c>
      <c r="F6" s="3">
        <f>_xlfn.DISPIMG("ID_4548E300BBA240CABABD843D5A5B898D",1)</f>
        <v/>
      </c>
      <c r="G6" s="3">
        <f>_xlfn.DISPIMG("ID_0929E5A84D764C2095932026EAC29696",1)</f>
        <v/>
      </c>
      <c r="H6" s="39" t="n"/>
      <c r="I6" s="39" t="n"/>
    </row>
    <row r="7" ht="127.55" customHeight="1" s="31">
      <c r="B7" s="3" t="n">
        <v>3</v>
      </c>
      <c r="C7" s="19" t="inlineStr">
        <is>
          <t>SFP</t>
        </is>
      </c>
      <c r="D7" s="3" t="inlineStr">
        <is>
          <t>1-8X24</t>
        </is>
      </c>
      <c r="E7" s="3" t="n">
        <v>30</v>
      </c>
      <c r="F7" s="3">
        <f>_xlfn.DISPIMG("ID_C2DFBF821B964187AA70DD2617782651",1)</f>
        <v/>
      </c>
      <c r="G7" s="3">
        <f>_xlfn.DISPIMG("ID_E8E29D44111441FEBFA298D1ED6103A5",1)</f>
        <v/>
      </c>
      <c r="H7" s="3">
        <f>_xlfn.DISPIMG("ID_7FA51B031D414485A72CAFEB8849FF46",1)</f>
        <v/>
      </c>
      <c r="I7" s="27" t="inlineStr">
        <is>
          <t>SFP1-8'!A1</t>
        </is>
      </c>
    </row>
    <row r="8" ht="127.55" customHeight="1" s="31">
      <c r="B8" s="3" t="n">
        <v>4</v>
      </c>
      <c r="C8" s="39" t="n"/>
      <c r="D8" s="3" t="inlineStr">
        <is>
          <t>1-8X28</t>
        </is>
      </c>
      <c r="E8" s="3" t="n">
        <v>34</v>
      </c>
      <c r="F8" s="3">
        <f>_xlfn.DISPIMG("ID_C2DFBF821B964187AA70DD2617782651",1)</f>
        <v/>
      </c>
      <c r="G8" s="3">
        <f>_xlfn.DISPIMG("ID_E8E29D44111441FEBFA298D1ED6103A5",1)</f>
        <v/>
      </c>
      <c r="H8" s="3">
        <f>_xlfn.DISPIMG("ID_7FA51B031D414485A72CAFEB8849FF46",1)</f>
        <v/>
      </c>
      <c r="I8" s="39" t="n"/>
    </row>
    <row r="9" ht="127.55" customHeight="1" s="31">
      <c r="B9" s="3" t="n">
        <v>5</v>
      </c>
      <c r="C9" s="19" t="inlineStr">
        <is>
          <t>FFP</t>
        </is>
      </c>
      <c r="D9" s="3" t="inlineStr">
        <is>
          <t>1-10X24</t>
        </is>
      </c>
      <c r="E9" s="3" t="n">
        <v>30</v>
      </c>
      <c r="F9" s="3">
        <f>_xlfn.DISPIMG("ID_3822AB1391BC4EB98EC8F13CEC2E5777",1)</f>
        <v/>
      </c>
      <c r="G9" s="3">
        <f>_xlfn.DISPIMG("ID_0929E5A84D764C2095932026EAC29696",1)</f>
        <v/>
      </c>
      <c r="H9" s="3" t="inlineStr">
        <is>
          <t>FFP — no fiber</t>
        </is>
      </c>
      <c r="I9" s="28" t="inlineStr">
        <is>
          <t>FFP1-10'!A1</t>
        </is>
      </c>
    </row>
    <row r="10" ht="127.55" customHeight="1" s="31">
      <c r="B10" s="3" t="n">
        <v>6</v>
      </c>
      <c r="C10" s="39" t="n"/>
      <c r="D10" s="3" t="inlineStr">
        <is>
          <t>1-10X26</t>
        </is>
      </c>
      <c r="E10" s="3" t="n">
        <v>34</v>
      </c>
      <c r="F10" s="3">
        <f>_xlfn.DISPIMG("ID_3822AB1391BC4EB98EC8F13CEC2E5777",1)</f>
        <v/>
      </c>
      <c r="G10" s="3">
        <f>_xlfn.DISPIMG("ID_0929E5A84D764C2095932026EAC29696",1)</f>
        <v/>
      </c>
      <c r="H10" s="39" t="n"/>
      <c r="I10" s="39" t="n"/>
    </row>
    <row r="11" ht="127.55" customHeight="1" s="31">
      <c r="B11" s="3" t="n">
        <v>7</v>
      </c>
      <c r="C11" s="19" t="inlineStr">
        <is>
          <t>SFP</t>
        </is>
      </c>
      <c r="D11" s="3" t="inlineStr">
        <is>
          <t>1-10X24</t>
        </is>
      </c>
      <c r="E11" s="3" t="n">
        <v>30</v>
      </c>
      <c r="F11" s="3">
        <f>_xlfn.DISPIMG("ID_C2DFBF821B964187AA70DD2617782651",1)</f>
        <v/>
      </c>
      <c r="G11" s="3">
        <f>_xlfn.DISPIMG("ID_E8E29D44111441FEBFA298D1ED6103A5",1)</f>
        <v/>
      </c>
      <c r="H11" s="3">
        <f>_xlfn.DISPIMG("ID_7FA51B031D414485A72CAFEB8849FF46",1)</f>
        <v/>
      </c>
      <c r="I11" s="28" t="inlineStr">
        <is>
          <t>SFP1-10'!A1</t>
        </is>
      </c>
    </row>
    <row r="12" ht="127.55" customHeight="1" s="31">
      <c r="B12" s="3" t="n">
        <v>8</v>
      </c>
      <c r="C12" s="39" t="n"/>
      <c r="D12" s="3" t="inlineStr">
        <is>
          <t>1-10X28</t>
        </is>
      </c>
      <c r="E12" s="3" t="n">
        <v>34</v>
      </c>
      <c r="F12" s="3">
        <f>_xlfn.DISPIMG("ID_C2DFBF821B964187AA70DD2617782651",1)</f>
        <v/>
      </c>
      <c r="G12" s="3">
        <f>_xlfn.DISPIMG("ID_E8E29D44111441FEBFA298D1ED6103A5",1)</f>
        <v/>
      </c>
      <c r="H12" s="3">
        <f>_xlfn.DISPIMG("ID_7FA51B031D414485A72CAFEB8849FF46",1)</f>
        <v/>
      </c>
      <c r="I12" s="39" t="n"/>
    </row>
    <row r="13" ht="141.7" customHeight="1" s="31">
      <c r="B13" s="3" t="n">
        <v>9</v>
      </c>
      <c r="C13" s="19" t="inlineStr">
        <is>
          <t>FFP</t>
        </is>
      </c>
      <c r="D13" s="3" t="inlineStr">
        <is>
          <t>2-16X44</t>
        </is>
      </c>
      <c r="E13" s="3" t="n">
        <v>30</v>
      </c>
      <c r="F13" s="3">
        <f>_xlfn.DISPIMG("ID_EDC9FF528E25423A90A74E30E1082F79",1)</f>
        <v/>
      </c>
      <c r="G13" s="3">
        <f>_xlfn.DISPIMG("ID_E86F54497F64482BA6767CCD94CFEA6D",1)</f>
        <v/>
      </c>
      <c r="H13" s="3" t="inlineStr">
        <is>
          <t>FFP — no fiber</t>
        </is>
      </c>
      <c r="I13" s="28" t="inlineStr">
        <is>
          <t>FFP2-16(2-12)'!A1</t>
        </is>
      </c>
    </row>
    <row r="14" ht="141.7" customHeight="1" s="31">
      <c r="B14" s="3" t="n">
        <v>10</v>
      </c>
      <c r="C14" s="39" t="n"/>
      <c r="D14" s="3" t="inlineStr">
        <is>
          <t>2-12X44</t>
        </is>
      </c>
      <c r="E14" s="3" t="n">
        <v>30</v>
      </c>
      <c r="F14" s="3">
        <f>_xlfn.DISPIMG("ID_EDC9FF528E25423A90A74E30E1082F79",1)</f>
        <v/>
      </c>
      <c r="G14" s="3">
        <f>_xlfn.DISPIMG("ID_E86F54497F64482BA6767CCD94CFEA6D",1)</f>
        <v/>
      </c>
      <c r="H14" s="39" t="n"/>
      <c r="I14" s="39" t="n"/>
    </row>
    <row r="15" ht="141.7" customHeight="1" s="31">
      <c r="B15" s="3" t="n">
        <v>11</v>
      </c>
      <c r="C15" s="19" t="inlineStr">
        <is>
          <t>SFP</t>
        </is>
      </c>
      <c r="D15" s="3" t="inlineStr">
        <is>
          <t>2-16X44</t>
        </is>
      </c>
      <c r="E15" s="3" t="n">
        <v>30</v>
      </c>
      <c r="F15" s="3">
        <f>_xlfn.DISPIMG("ID_C2C84F7D25A3404AAE50D054C096991D",1)</f>
        <v/>
      </c>
      <c r="G15" s="3">
        <f>_xlfn.DISPIMG("ID_64F6CA07B17446E0B91FB19116B54B6F",1)</f>
        <v/>
      </c>
      <c r="H15" s="3">
        <f>_xlfn.DISPIMG("ID_7FA51B031D414485A72CAFEB8849FF46",1)</f>
        <v/>
      </c>
      <c r="I15" s="28" t="inlineStr">
        <is>
          <t>SFP2-16(2-12)'!A1</t>
        </is>
      </c>
    </row>
    <row r="16" ht="141.7" customHeight="1" s="31">
      <c r="B16" s="3" t="n">
        <v>12</v>
      </c>
      <c r="C16" s="39" t="n"/>
      <c r="D16" s="3" t="inlineStr">
        <is>
          <t>2-12X44</t>
        </is>
      </c>
      <c r="E16" s="3" t="n">
        <v>30</v>
      </c>
      <c r="F16" s="3">
        <f>_xlfn.DISPIMG("ID_B190B97BF7E94FCF901C5536E3F0F118",1)</f>
        <v/>
      </c>
      <c r="G16" s="3">
        <f>_xlfn.DISPIMG("ID_066309E80DCD4A279C2EA89CEDD4CD05",1)</f>
        <v/>
      </c>
      <c r="H16" s="3">
        <f>_xlfn.DISPIMG("ID_7FA51B031D414485A72CAFEB8849FF46",1)</f>
        <v/>
      </c>
      <c r="I16" s="39" t="n"/>
    </row>
    <row r="17" ht="141.7" customHeight="1" s="31">
      <c r="B17" s="3" t="n">
        <v>13</v>
      </c>
      <c r="C17" s="19" t="inlineStr">
        <is>
          <t>FFP</t>
        </is>
      </c>
      <c r="D17" s="3" t="inlineStr">
        <is>
          <t>2.5-20X50</t>
        </is>
      </c>
      <c r="E17" s="3" t="n">
        <v>30</v>
      </c>
      <c r="F17" s="3">
        <f>_xlfn.DISPIMG("ID_EDC9FF528E25423A90A74E30E1082F79",1)</f>
        <v/>
      </c>
      <c r="G17" s="3">
        <f>_xlfn.DISPIMG("ID_E86F54497F64482BA6767CCD94CFEA6D",1)</f>
        <v/>
      </c>
      <c r="H17" s="3" t="inlineStr">
        <is>
          <t>FFP — no fiber</t>
        </is>
      </c>
      <c r="I17" s="28" t="inlineStr">
        <is>
          <t>FFP2.5-20(2.5-15)(3-18)'!A1</t>
        </is>
      </c>
    </row>
    <row r="18" ht="141.7" customHeight="1" s="31">
      <c r="B18" s="3" t="n">
        <v>14</v>
      </c>
      <c r="C18" s="40" t="n"/>
      <c r="D18" s="3" t="inlineStr">
        <is>
          <t>2.5-15X50</t>
        </is>
      </c>
      <c r="E18" s="3" t="n">
        <v>30</v>
      </c>
      <c r="F18" s="3">
        <f>_xlfn.DISPIMG("ID_EDC9FF528E25423A90A74E30E1082F79",1)</f>
        <v/>
      </c>
      <c r="G18" s="3">
        <f>_xlfn.DISPIMG("ID_E86F54497F64482BA6767CCD94CFEA6D",1)</f>
        <v/>
      </c>
      <c r="H18" s="40" t="n"/>
      <c r="I18" s="40" t="n"/>
    </row>
    <row r="19" ht="141.7" customHeight="1" s="31">
      <c r="B19" s="3" t="n">
        <v>15</v>
      </c>
      <c r="C19" s="39" t="n"/>
      <c r="D19" s="3" t="inlineStr">
        <is>
          <t>3-18X50</t>
        </is>
      </c>
      <c r="E19" s="3" t="n">
        <v>30</v>
      </c>
      <c r="F19" s="3">
        <f>_xlfn.DISPIMG("ID_EDC9FF528E25423A90A74E30E1082F79",1)</f>
        <v/>
      </c>
      <c r="G19" s="3">
        <f>_xlfn.DISPIMG("ID_E86F54497F64482BA6767CCD94CFEA6D",1)</f>
        <v/>
      </c>
      <c r="H19" s="39" t="n"/>
      <c r="I19" s="39" t="n"/>
    </row>
    <row r="20" ht="141.7" customHeight="1" s="31">
      <c r="B20" s="3" t="n">
        <v>16</v>
      </c>
      <c r="C20" s="19" t="inlineStr">
        <is>
          <t>SFP</t>
        </is>
      </c>
      <c r="D20" s="3" t="inlineStr">
        <is>
          <t>2.5-20X50</t>
        </is>
      </c>
      <c r="E20" s="3" t="n">
        <v>30</v>
      </c>
      <c r="F20" s="3" t="inlineStr">
        <is>
          <t>/</t>
        </is>
      </c>
      <c r="G20" s="3" t="inlineStr">
        <is>
          <t>/</t>
        </is>
      </c>
      <c r="H20" s="3">
        <f>_xlfn.DISPIMG("ID_7FA51B031D414485A72CAFEB8849FF46",1)</f>
        <v/>
      </c>
      <c r="I20" s="28" t="inlineStr">
        <is>
          <t>SFP2.5-20(2.5-15)(3-18)'!A1</t>
        </is>
      </c>
    </row>
    <row r="21" ht="141.7" customHeight="1" s="31">
      <c r="B21" s="3" t="n">
        <v>17</v>
      </c>
      <c r="C21" s="40" t="n"/>
      <c r="D21" s="3" t="inlineStr">
        <is>
          <t>2.5-15X50</t>
        </is>
      </c>
      <c r="E21" s="3" t="n">
        <v>30</v>
      </c>
      <c r="F21" s="3">
        <f>_xlfn.DISPIMG("ID_C2C84F7D25A3404AAE50D054C096991D",1)</f>
        <v/>
      </c>
      <c r="G21" s="3">
        <f>_xlfn.DISPIMG("ID_64F6CA07B17446E0B91FB19116B54B6F",1)</f>
        <v/>
      </c>
      <c r="H21" s="3">
        <f>_xlfn.DISPIMG("ID_7FA51B031D414485A72CAFEB8849FF46",1)</f>
        <v/>
      </c>
      <c r="I21" s="40" t="n"/>
    </row>
    <row r="22" ht="141.7" customHeight="1" s="31">
      <c r="B22" s="3" t="n">
        <v>18</v>
      </c>
      <c r="C22" s="39" t="n"/>
      <c r="D22" s="3" t="inlineStr">
        <is>
          <t>3-18X50</t>
        </is>
      </c>
      <c r="E22" s="3" t="n">
        <v>30</v>
      </c>
      <c r="F22" s="3">
        <f>_xlfn.DISPIMG("ID_52951E162103434CB12470F6183FBBC8",1)</f>
        <v/>
      </c>
      <c r="G22" s="3">
        <f>_xlfn.DISPIMG("ID_FF772741F96C4157A167EEFF684D9202",1)</f>
        <v/>
      </c>
      <c r="H22" s="3">
        <f>_xlfn.DISPIMG("ID_7FA51B031D414485A72CAFEB8849FF46",1)</f>
        <v/>
      </c>
      <c r="I22" s="39" t="n"/>
    </row>
    <row r="23" ht="141.7" customHeight="1" s="31">
      <c r="B23" s="3" t="n">
        <v>19</v>
      </c>
      <c r="C23" s="19" t="inlineStr">
        <is>
          <t>FFP</t>
        </is>
      </c>
      <c r="D23" s="3" t="inlineStr">
        <is>
          <t>3-24X50</t>
        </is>
      </c>
      <c r="E23" s="3" t="n">
        <v>30</v>
      </c>
      <c r="F23" s="3">
        <f>_xlfn.DISPIMG("ID_EDC9FF528E25423A90A74E30E1082F79",1)</f>
        <v/>
      </c>
      <c r="G23" s="3">
        <f>_xlfn.DISPIMG("ID_E86F54497F64482BA6767CCD94CFEA6D",1)</f>
        <v/>
      </c>
      <c r="H23" s="3" t="inlineStr">
        <is>
          <t>FFP — no fiber</t>
        </is>
      </c>
      <c r="I23" s="27" t="inlineStr">
        <is>
          <t>FFP3-24(4-24)'!A1</t>
        </is>
      </c>
    </row>
    <row r="24" ht="141.7" customHeight="1" s="31">
      <c r="B24" s="3" t="n">
        <v>20</v>
      </c>
      <c r="C24" s="39" t="n"/>
      <c r="D24" s="3" t="inlineStr">
        <is>
          <t>4-24X50</t>
        </is>
      </c>
      <c r="E24" s="3" t="n">
        <v>30</v>
      </c>
      <c r="F24" s="3">
        <f>_xlfn.DISPIMG("ID_EDC9FF528E25423A90A74E30E1082F79",1)</f>
        <v/>
      </c>
      <c r="G24" s="3">
        <f>_xlfn.DISPIMG("ID_E86F54497F64482BA6767CCD94CFEA6D",1)</f>
        <v/>
      </c>
      <c r="H24" s="39" t="n"/>
      <c r="I24" s="39" t="n"/>
    </row>
    <row r="25" ht="141.7" customHeight="1" s="31">
      <c r="B25" s="3" t="n">
        <v>21</v>
      </c>
      <c r="C25" s="19" t="inlineStr">
        <is>
          <t>SFP</t>
        </is>
      </c>
      <c r="D25" s="3" t="inlineStr">
        <is>
          <t>3-24X50</t>
        </is>
      </c>
      <c r="E25" s="3" t="n">
        <v>30</v>
      </c>
      <c r="F25" s="3">
        <f>_xlfn.DISPIMG("ID_01E43793B470408482ED0968F347E0DD",1)</f>
        <v/>
      </c>
      <c r="G25" s="3">
        <f>_xlfn.DISPIMG("ID_50363CED42C74FA9A603F1D2621D00ED",1)</f>
        <v/>
      </c>
      <c r="H25" s="3">
        <f>_xlfn.DISPIMG("ID_7FA51B031D414485A72CAFEB8849FF46",1)</f>
        <v/>
      </c>
      <c r="I25" s="28" t="inlineStr">
        <is>
          <t>SFP3-24(4-24)'!A1</t>
        </is>
      </c>
    </row>
    <row r="26" ht="141.7" customHeight="1" s="31">
      <c r="B26" s="3" t="n">
        <v>22</v>
      </c>
      <c r="C26" s="39" t="n"/>
      <c r="D26" s="3" t="inlineStr">
        <is>
          <t>4-24X50</t>
        </is>
      </c>
      <c r="E26" s="3" t="n">
        <v>30</v>
      </c>
      <c r="F26" s="3">
        <f>_xlfn.DISPIMG("ID_01E43793B470408482ED0968F347E0DD",1)</f>
        <v/>
      </c>
      <c r="G26" s="3">
        <f>_xlfn.DISPIMG("ID_50363CED42C74FA9A603F1D2621D00ED",1)</f>
        <v/>
      </c>
      <c r="H26" s="3">
        <f>_xlfn.DISPIMG("ID_7FA51B031D414485A72CAFEB8849FF46",1)</f>
        <v/>
      </c>
      <c r="I26" s="39" t="n"/>
    </row>
    <row r="27" ht="141.7" customHeight="1" s="31">
      <c r="B27" s="3" t="n">
        <v>23</v>
      </c>
      <c r="C27" s="19" t="inlineStr">
        <is>
          <t>FFP</t>
        </is>
      </c>
      <c r="D27" s="3" t="inlineStr">
        <is>
          <t>3.125-25X50</t>
        </is>
      </c>
      <c r="E27" s="3" t="n">
        <v>30</v>
      </c>
      <c r="F27" s="3">
        <f>_xlfn.DISPIMG("ID_EDC9FF528E25423A90A74E30E1082F79",1)</f>
        <v/>
      </c>
      <c r="G27" s="3">
        <f>_xlfn.DISPIMG("ID_E86F54497F64482BA6767CCD94CFEA6D",1)</f>
        <v/>
      </c>
      <c r="H27" s="3" t="inlineStr">
        <is>
          <t>FFP — no fiber</t>
        </is>
      </c>
      <c r="I27" s="28" t="inlineStr">
        <is>
          <t>FFP3.125-25(5-25)'!A1</t>
        </is>
      </c>
    </row>
    <row r="28" ht="141.7" customHeight="1" s="31">
      <c r="B28" s="3" t="n">
        <v>24</v>
      </c>
      <c r="C28" s="39" t="n"/>
      <c r="D28" s="3" t="inlineStr">
        <is>
          <t>5-25X50</t>
        </is>
      </c>
      <c r="E28" s="3" t="n">
        <v>30</v>
      </c>
      <c r="F28" s="3">
        <f>_xlfn.DISPIMG("ID_EDC9FF528E25423A90A74E30E1082F79",1)</f>
        <v/>
      </c>
      <c r="G28" s="3">
        <f>_xlfn.DISPIMG("ID_E86F54497F64482BA6767CCD94CFEA6D",1)</f>
        <v/>
      </c>
      <c r="H28" s="39" t="n"/>
      <c r="I28" s="39" t="n"/>
    </row>
    <row r="29" ht="141.7" customHeight="1" s="31">
      <c r="B29" s="3" t="n">
        <v>25</v>
      </c>
      <c r="C29" s="19" t="inlineStr">
        <is>
          <t>SFP</t>
        </is>
      </c>
      <c r="D29" s="3" t="inlineStr">
        <is>
          <t>3.125-25X50</t>
        </is>
      </c>
      <c r="E29" s="3" t="n">
        <v>30</v>
      </c>
      <c r="F29" s="3">
        <f>_xlfn.DISPIMG("ID_01E43793B470408482ED0968F347E0DD",1)</f>
        <v/>
      </c>
      <c r="G29" s="3">
        <f>_xlfn.DISPIMG("ID_50363CED42C74FA9A603F1D2621D00ED",1)</f>
        <v/>
      </c>
      <c r="H29" s="3">
        <f>_xlfn.DISPIMG("ID_7FA51B031D414485A72CAFEB8849FF46",1)</f>
        <v/>
      </c>
      <c r="I29" s="28" t="inlineStr">
        <is>
          <t>SFP3.125-25(5-25)'!A1</t>
        </is>
      </c>
    </row>
    <row r="30" ht="141.7" customHeight="1" s="31">
      <c r="B30" s="3" t="n">
        <v>26</v>
      </c>
      <c r="C30" s="39" t="n"/>
      <c r="D30" s="3" t="inlineStr">
        <is>
          <t>5-25X50</t>
        </is>
      </c>
      <c r="E30" s="3" t="n">
        <v>30</v>
      </c>
      <c r="F30" s="3">
        <f>_xlfn.DISPIMG("ID_01E43793B470408482ED0968F347E0DD",1)</f>
        <v/>
      </c>
      <c r="G30" s="3">
        <f>_xlfn.DISPIMG("ID_50363CED42C74FA9A603F1D2621D00ED",1)</f>
        <v/>
      </c>
      <c r="H30" s="3">
        <f>_xlfn.DISPIMG("ID_7FA51B031D414485A72CAFEB8849FF46",1)</f>
        <v/>
      </c>
      <c r="I30" s="39" t="n"/>
    </row>
    <row r="31" ht="141.7" customHeight="1" s="31">
      <c r="B31" s="3" t="n">
        <v>27</v>
      </c>
      <c r="C31" s="19" t="inlineStr">
        <is>
          <t>FFP</t>
        </is>
      </c>
      <c r="D31" s="3" t="inlineStr">
        <is>
          <t>4-32X56</t>
        </is>
      </c>
      <c r="E31" s="3" t="n">
        <v>34</v>
      </c>
      <c r="F31" s="3">
        <f>_xlfn.DISPIMG("ID_EDC9FF528E25423A90A74E30E1082F79",1)</f>
        <v/>
      </c>
      <c r="G31" s="3">
        <f>_xlfn.DISPIMG("ID_C0ECE90580C748E99A226D676B98CF3D",1)</f>
        <v/>
      </c>
      <c r="H31" s="3" t="inlineStr">
        <is>
          <t>FFP — no fiber</t>
        </is>
      </c>
      <c r="I31" s="28" t="inlineStr">
        <is>
          <t>FFP4-32(5-25)(5-30)'!A1</t>
        </is>
      </c>
    </row>
    <row r="32" ht="141.7" customHeight="1" s="31">
      <c r="B32" s="3" t="n">
        <v>28</v>
      </c>
      <c r="C32" s="40" t="n"/>
      <c r="D32" s="3" t="inlineStr">
        <is>
          <t>5-25X56</t>
        </is>
      </c>
      <c r="E32" s="3" t="n">
        <v>34</v>
      </c>
      <c r="F32" s="3">
        <f>_xlfn.DISPIMG("ID_EDC9FF528E25423A90A74E30E1082F79",1)</f>
        <v/>
      </c>
      <c r="G32" s="3">
        <f>_xlfn.DISPIMG("ID_C0ECE90580C748E99A226D676B98CF3D",1)</f>
        <v/>
      </c>
      <c r="H32" s="40" t="n"/>
      <c r="I32" s="40" t="n"/>
    </row>
    <row r="33" ht="141.7" customHeight="1" s="31">
      <c r="B33" s="3" t="n">
        <v>29</v>
      </c>
      <c r="C33" s="39" t="n"/>
      <c r="D33" s="3" t="inlineStr">
        <is>
          <t>5-30X56</t>
        </is>
      </c>
      <c r="E33" s="3" t="n">
        <v>34</v>
      </c>
      <c r="F33" s="3">
        <f>_xlfn.DISPIMG("ID_EDC9FF528E25423A90A74E30E1082F79",1)</f>
        <v/>
      </c>
      <c r="G33" s="3">
        <f>_xlfn.DISPIMG("ID_C0ECE90580C748E99A226D676B98CF3D",1)</f>
        <v/>
      </c>
      <c r="H33" s="40" t="n"/>
      <c r="I33" s="39" t="n"/>
    </row>
    <row r="34" ht="141.7" customHeight="1" s="31">
      <c r="B34" s="3" t="n">
        <v>30</v>
      </c>
      <c r="C34" s="19" t="inlineStr">
        <is>
          <t>FFP</t>
        </is>
      </c>
      <c r="D34" s="3" t="inlineStr">
        <is>
          <t>5-40X56</t>
        </is>
      </c>
      <c r="E34" s="3" t="n">
        <v>34</v>
      </c>
      <c r="F34" s="3">
        <f>_xlfn.DISPIMG("ID_EDC9FF528E25423A90A74E30E1082F79",1)</f>
        <v/>
      </c>
      <c r="G34" s="3">
        <f>_xlfn.DISPIMG("ID_C0ECE90580C748E99A226D676B98CF3D",1)</f>
        <v/>
      </c>
      <c r="H34" s="40" t="n"/>
      <c r="I34" s="28" t="inlineStr">
        <is>
          <t>FFP5-40X56(6-36)(7-35)'!A1</t>
        </is>
      </c>
    </row>
    <row r="35" ht="141.7" customHeight="1" s="31">
      <c r="B35" s="3" t="n">
        <v>31</v>
      </c>
      <c r="C35" s="40" t="n"/>
      <c r="D35" s="3" t="inlineStr">
        <is>
          <t>6-36X56</t>
        </is>
      </c>
      <c r="E35" s="3" t="n">
        <v>34</v>
      </c>
      <c r="F35" s="3">
        <f>_xlfn.DISPIMG("ID_EDC9FF528E25423A90A74E30E1082F79",1)</f>
        <v/>
      </c>
      <c r="G35" s="3">
        <f>_xlfn.DISPIMG("ID_C0ECE90580C748E99A226D676B98CF3D",1)</f>
        <v/>
      </c>
      <c r="H35" s="40" t="n"/>
      <c r="I35" s="40" t="n"/>
    </row>
    <row r="36" ht="141.7" customHeight="1" s="31">
      <c r="B36" s="3" t="n">
        <v>32</v>
      </c>
      <c r="C36" s="39" t="n"/>
      <c r="D36" s="3" t="inlineStr">
        <is>
          <t>7-35X56</t>
        </is>
      </c>
      <c r="E36" s="3" t="n">
        <v>34</v>
      </c>
      <c r="F36" s="3">
        <f>_xlfn.DISPIMG("ID_EDC9FF528E25423A90A74E30E1082F79",1)</f>
        <v/>
      </c>
      <c r="G36" s="3">
        <f>_xlfn.DISPIMG("ID_C0ECE90580C748E99A226D676B98CF3D",1)</f>
        <v/>
      </c>
      <c r="H36" s="39" t="n"/>
      <c r="I36" s="39" t="n"/>
    </row>
    <row r="37" ht="140.15" customHeight="1" s="31">
      <c r="B37" s="3" t="n">
        <v>33</v>
      </c>
      <c r="C37" s="19" t="inlineStr">
        <is>
          <t>FFP</t>
        </is>
      </c>
      <c r="D37" s="3" t="inlineStr">
        <is>
          <t>5-40X60</t>
        </is>
      </c>
      <c r="E37" s="3" t="n">
        <v>34</v>
      </c>
      <c r="F37" s="3">
        <f>_xlfn.DISPIMG("ID_EDC9FF528E25423A90A74E30E1082F79",1)</f>
        <v/>
      </c>
      <c r="G37" s="3">
        <f>_xlfn.DISPIMG("ID_C0ECE90580C748E99A226D676B98CF3D",1)</f>
        <v/>
      </c>
      <c r="H37" s="3" t="inlineStr">
        <is>
          <t>FFP — no fiber</t>
        </is>
      </c>
      <c r="I37" s="28" t="inlineStr">
        <is>
          <t>FFP5-40X60(6-36)(7-35)'!A1</t>
        </is>
      </c>
    </row>
    <row r="38" ht="140.15" customHeight="1" s="31">
      <c r="B38" s="3" t="n">
        <v>34</v>
      </c>
      <c r="C38" s="40" t="n"/>
      <c r="D38" s="3" t="inlineStr">
        <is>
          <t>6-36X60</t>
        </is>
      </c>
      <c r="E38" s="3" t="n">
        <v>34</v>
      </c>
      <c r="F38" s="3">
        <f>_xlfn.DISPIMG("ID_EDC9FF528E25423A90A74E30E1082F79",1)</f>
        <v/>
      </c>
      <c r="G38" s="3">
        <f>_xlfn.DISPIMG("ID_C0ECE90580C748E99A226D676B98CF3D",1)</f>
        <v/>
      </c>
      <c r="H38" s="40" t="n"/>
      <c r="I38" s="40" t="n"/>
    </row>
    <row r="39" ht="140.15" customHeight="1" s="31">
      <c r="B39" s="3" t="n">
        <v>35</v>
      </c>
      <c r="C39" s="39" t="n"/>
      <c r="D39" s="3" t="inlineStr">
        <is>
          <t>7-35X60</t>
        </is>
      </c>
      <c r="E39" s="3" t="n">
        <v>34</v>
      </c>
      <c r="F39" s="3">
        <f>_xlfn.DISPIMG("ID_EDC9FF528E25423A90A74E30E1082F79",1)</f>
        <v/>
      </c>
      <c r="G39" s="3">
        <f>_xlfn.DISPIMG("ID_C0ECE90580C748E99A226D676B98CF3D",1)</f>
        <v/>
      </c>
      <c r="H39" s="39" t="n"/>
      <c r="I39" s="39" t="n"/>
    </row>
  </sheetData>
  <mergeCells count="45">
    <mergeCell ref="H17:H19"/>
    <mergeCell ref="H9:H10"/>
    <mergeCell ref="I17:I19"/>
    <mergeCell ref="B3:B4"/>
    <mergeCell ref="C17:C19"/>
    <mergeCell ref="C29:C30"/>
    <mergeCell ref="B1:I2"/>
    <mergeCell ref="I20:I22"/>
    <mergeCell ref="I7:I8"/>
    <mergeCell ref="F3:H3"/>
    <mergeCell ref="H37:H39"/>
    <mergeCell ref="C9:C10"/>
    <mergeCell ref="H31:H36"/>
    <mergeCell ref="I25:I26"/>
    <mergeCell ref="I31:I33"/>
    <mergeCell ref="C25:C26"/>
    <mergeCell ref="C34:C36"/>
    <mergeCell ref="I34:I36"/>
    <mergeCell ref="I3:I4"/>
    <mergeCell ref="D3:D4"/>
    <mergeCell ref="C37:C39"/>
    <mergeCell ref="C11:C12"/>
    <mergeCell ref="I5:I6"/>
    <mergeCell ref="C23:C24"/>
    <mergeCell ref="H13:H14"/>
    <mergeCell ref="H27:H28"/>
    <mergeCell ref="C20:C22"/>
    <mergeCell ref="I13:I14"/>
    <mergeCell ref="C27:C28"/>
    <mergeCell ref="C7:C8"/>
    <mergeCell ref="I29:I30"/>
    <mergeCell ref="I23:I24"/>
    <mergeCell ref="C13:C14"/>
    <mergeCell ref="H5:H6"/>
    <mergeCell ref="C31:C33"/>
    <mergeCell ref="I9:I10"/>
    <mergeCell ref="C3:C4"/>
    <mergeCell ref="E3:E4"/>
    <mergeCell ref="C15:C16"/>
    <mergeCell ref="I15:I16"/>
    <mergeCell ref="H23:H24"/>
    <mergeCell ref="I37:I39"/>
    <mergeCell ref="I11:I12"/>
    <mergeCell ref="I27:I28"/>
    <mergeCell ref="C5:C6"/>
  </mergeCells>
  <hyperlinks>
    <hyperlink ref="I5" location="'FFP1-8'!A1" display="FFP1-8'!A1"/>
    <hyperlink ref="I7" location="'SFP1-8'!A1" display="SFP1-8'!A1"/>
    <hyperlink ref="I9" location="'FFP1-10'!A1" display="FFP1-10'!A1"/>
    <hyperlink ref="I11" location="'SFP1-10'!A1" display="SFP1-10'!A1"/>
    <hyperlink ref="I13" location="'FFP2-16(2-12)'!A1" display="FFP2-16(2-12)'!A1"/>
    <hyperlink ref="I15" location="'SFP2-16(2-12)'!A1" display="SFP2-16(2-12)'!A1"/>
    <hyperlink ref="I17" location="'FFP2.5-20(2.5-15)(3-18)'!A1" display="FFP2.5-20(2.5-15)(3-18)'!A1"/>
    <hyperlink ref="I20" location="'SFP2.5-20(2.5-15)(3-18)'!A1" display="SFP2.5-20(2.5-15)(3-18)'!A1"/>
    <hyperlink ref="I23" location="'FFP3-24(4-24)'!A1" display="FFP3-24(4-24)'!A1"/>
    <hyperlink ref="I25" location="'SFP3-24(4-24)'!A1" display="SFP3-24(4-24)'!A1"/>
    <hyperlink ref="I27" location="'FFP3.125-25(5-25)'!A1" display="FFP3.125-25(5-25)'!A1"/>
    <hyperlink ref="I29" location="'SFP3.125-25(5-25)'!A1" display="SFP3.125-25(5-25)'!A1"/>
    <hyperlink ref="I31" location="'FFP4-32(5-25)(5-30)'!A1" display="FFP4-32(5-25)(5-30)'!A1"/>
    <hyperlink ref="I34" location="'FFP5-40X56(6-36)(7-35)'!A1" display="FFP5-40X56(6-36)(7-35)'!A1"/>
    <hyperlink ref="I37" location="'FFP5-40X60(6-36)(7-35)'!A1" display="FFP5-40X60(6-36)(7-35)'!A1"/>
  </hyperlinks>
  <pageMargins left="0.07847222222222219" right="0.118055555555556" top="0.196527777777778" bottom="0.156944444444444" header="0.118055555555556" footer="0.07847222222222219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N16" sqref="N16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FFP 1-8X26</t>
        </is>
      </c>
      <c r="D3" s="15" t="inlineStr">
        <is>
          <t>FFP 1-8X24</t>
        </is>
      </c>
    </row>
    <row r="4" ht="20" customHeight="1" s="31">
      <c r="B4" s="15" t="inlineStr">
        <is>
          <t>Series</t>
        </is>
      </c>
      <c r="C4" s="15" t="inlineStr">
        <is>
          <t>Venus</t>
        </is>
      </c>
      <c r="D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1-8X</t>
        </is>
      </c>
      <c r="D5" s="4" t="inlineStr">
        <is>
          <t>1-8X</t>
        </is>
      </c>
    </row>
    <row r="6" ht="20" customHeight="1" s="31">
      <c r="B6" s="4" t="inlineStr">
        <is>
          <t>Focal Plane</t>
        </is>
      </c>
      <c r="C6" s="4" t="inlineStr">
        <is>
          <t>FFP</t>
        </is>
      </c>
      <c r="D6" s="4" t="inlineStr">
        <is>
          <t>FFP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4" t="inlineStr">
        <is>
          <t>34mm</t>
        </is>
      </c>
      <c r="D8" s="3" t="inlineStr">
        <is>
          <t>30mm</t>
        </is>
      </c>
    </row>
    <row r="9" ht="20" customHeight="1" s="31">
      <c r="B9" s="4" t="inlineStr">
        <is>
          <t>Objective Lens Dia</t>
        </is>
      </c>
      <c r="C9" s="4" t="inlineStr">
        <is>
          <t>26mm</t>
        </is>
      </c>
      <c r="D9" s="3" t="inlineStr">
        <is>
          <t>24mm</t>
        </is>
      </c>
    </row>
    <row r="10" ht="20" customHeight="1" s="31">
      <c r="B10" s="4" t="inlineStr">
        <is>
          <t>Angular Field of View</t>
        </is>
      </c>
      <c r="C10" s="3" t="inlineStr">
        <is>
          <t>26°-3.25°</t>
        </is>
      </c>
      <c r="D10" s="3" t="inlineStr">
        <is>
          <t>24°-3°</t>
        </is>
      </c>
    </row>
    <row r="11" ht="20" customHeight="1" s="31">
      <c r="B11" s="4" t="inlineStr">
        <is>
          <t>apparent FOV@1X</t>
        </is>
      </c>
      <c r="C11" s="3" t="inlineStr">
        <is>
          <t>26°</t>
        </is>
      </c>
      <c r="D11" s="3" t="inlineStr">
        <is>
          <t>24°</t>
        </is>
      </c>
    </row>
    <row r="12" ht="20" customHeight="1" s="31">
      <c r="B12" s="4" t="inlineStr">
        <is>
          <t>linear FOV@100yd</t>
        </is>
      </c>
      <c r="C12" s="3" t="inlineStr">
        <is>
          <t>138ft-17.3ft</t>
        </is>
      </c>
      <c r="D12" s="3" t="inlineStr">
        <is>
          <t>128ft-16ft</t>
        </is>
      </c>
    </row>
    <row r="13" ht="20" customHeight="1" s="31">
      <c r="B13" s="4" t="inlineStr">
        <is>
          <t>linear FOV@100m</t>
        </is>
      </c>
      <c r="C13" s="3" t="inlineStr">
        <is>
          <t>46.0m-5.77m</t>
        </is>
      </c>
      <c r="D13" s="3" t="inlineStr">
        <is>
          <t>42.7m-5.33m</t>
        </is>
      </c>
    </row>
    <row r="14" ht="20" customHeight="1" s="31">
      <c r="B14" s="4" t="inlineStr">
        <is>
          <t>Eye Relief</t>
        </is>
      </c>
      <c r="C14" s="3" t="inlineStr">
        <is>
          <t>86mm</t>
        </is>
      </c>
      <c r="D14" s="3" t="inlineStr">
        <is>
          <t>86mm</t>
        </is>
      </c>
    </row>
    <row r="15" ht="30" customHeight="1" s="31">
      <c r="B15" s="7" t="inlineStr">
        <is>
          <t>Elevation Range</t>
        </is>
      </c>
      <c r="C15" s="9" t="inlineStr">
        <is>
          <t>±17.4 MIL
Total: 34.9 MIL</t>
        </is>
      </c>
      <c r="D15" s="9" t="inlineStr">
        <is>
          <t>±17.4 MIL
Total: 34.9 MIL</t>
        </is>
      </c>
    </row>
    <row r="16" ht="30" customHeight="1" s="31">
      <c r="B16" s="7" t="inlineStr">
        <is>
          <t>Windage Range</t>
        </is>
      </c>
      <c r="C16" s="9" t="inlineStr">
        <is>
          <t>±17.4 MIL
Total: 34.9 MIL</t>
        </is>
      </c>
      <c r="D16" s="9" t="inlineStr">
        <is>
          <t>±17.4 MIL
Total: 34.9 MIL</t>
        </is>
      </c>
    </row>
    <row r="17" ht="20" customHeight="1" s="31">
      <c r="B17" s="4" t="inlineStr">
        <is>
          <t>Length</t>
        </is>
      </c>
      <c r="C17" s="3" t="inlineStr">
        <is>
          <t>278mm/10.9in</t>
        </is>
      </c>
      <c r="D17" s="3" t="inlineStr">
        <is>
          <t>270mm/10.63in</t>
        </is>
      </c>
    </row>
    <row r="18" ht="20" customHeight="1" s="31">
      <c r="B18" s="4" t="inlineStr">
        <is>
          <t>Weight</t>
        </is>
      </c>
      <c r="C18" s="3" t="inlineStr">
        <is>
          <t>608g/21.4oz</t>
        </is>
      </c>
      <c r="D18" s="3" t="inlineStr">
        <is>
          <t>525g/18.5oz</t>
        </is>
      </c>
    </row>
    <row r="19" ht="20" customHeight="1" s="31">
      <c r="B19" s="4" t="inlineStr">
        <is>
          <t>Side Focus</t>
        </is>
      </c>
      <c r="C19" s="3" t="inlineStr">
        <is>
          <t>/</t>
        </is>
      </c>
      <c r="D19" s="3" t="inlineStr">
        <is>
          <t>/</t>
        </is>
      </c>
    </row>
    <row r="20" ht="20" customHeight="1" s="31">
      <c r="B20" s="4" t="inlineStr">
        <is>
          <t>Turret Function</t>
        </is>
      </c>
      <c r="C20" s="3" t="inlineStr">
        <is>
          <t>/</t>
        </is>
      </c>
      <c r="D20" s="3" t="inlineStr">
        <is>
          <t>/</t>
        </is>
      </c>
    </row>
    <row r="21" ht="39" customHeight="1" s="31">
      <c r="B21" s="3" t="inlineStr">
        <is>
          <t>Click Value</t>
        </is>
      </c>
      <c r="C21" s="9" t="inlineStr">
        <is>
          <t>1/2 MOA</t>
        </is>
      </c>
      <c r="D21" s="3" t="inlineStr">
        <is>
          <t>1/2 MOA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SFP 1-8X28</t>
        </is>
      </c>
      <c r="D3" s="15" t="inlineStr">
        <is>
          <t>SFP 1-8X24</t>
        </is>
      </c>
    </row>
    <row r="4" ht="20" customHeight="1" s="31">
      <c r="B4" s="15" t="inlineStr">
        <is>
          <t>Series</t>
        </is>
      </c>
      <c r="C4" s="15" t="inlineStr">
        <is>
          <t>Venus</t>
        </is>
      </c>
      <c r="D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1-8X</t>
        </is>
      </c>
      <c r="D5" s="4" t="inlineStr">
        <is>
          <t>1-8X</t>
        </is>
      </c>
    </row>
    <row r="6" ht="20" customHeight="1" s="31">
      <c r="B6" s="4" t="inlineStr">
        <is>
          <t>Focal Plane</t>
        </is>
      </c>
      <c r="C6" s="4" t="inlineStr">
        <is>
          <t>SFP</t>
        </is>
      </c>
      <c r="D6" s="4" t="inlineStr">
        <is>
          <t>SFP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34mm</t>
        </is>
      </c>
      <c r="D8" s="3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28mm</t>
        </is>
      </c>
      <c r="D9" s="3" t="inlineStr">
        <is>
          <t>24mm</t>
        </is>
      </c>
    </row>
    <row r="10" ht="20" customHeight="1" s="31">
      <c r="B10" s="4" t="inlineStr">
        <is>
          <t>Angular Field of View</t>
        </is>
      </c>
      <c r="C10" s="3" t="inlineStr">
        <is>
          <t>28°-3.5°</t>
        </is>
      </c>
      <c r="D10" s="3" t="inlineStr">
        <is>
          <t>25°-3.13°</t>
        </is>
      </c>
    </row>
    <row r="11" ht="20" customHeight="1" s="31">
      <c r="B11" s="4" t="inlineStr">
        <is>
          <t>apparent FOV@1X</t>
        </is>
      </c>
      <c r="C11" s="3" t="inlineStr">
        <is>
          <t>28°</t>
        </is>
      </c>
      <c r="D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149.6ft-18.3ft</t>
        </is>
      </c>
      <c r="D12" s="3" t="inlineStr">
        <is>
          <t>133ft-16.6ft</t>
        </is>
      </c>
    </row>
    <row r="13" ht="20" customHeight="1" s="31">
      <c r="B13" s="4" t="inlineStr">
        <is>
          <t>linear FOV@100m</t>
        </is>
      </c>
      <c r="C13" s="3" t="inlineStr">
        <is>
          <t>49.9m-6.11m</t>
        </is>
      </c>
      <c r="D13" s="3" t="inlineStr">
        <is>
          <t>44.4m-5.53m</t>
        </is>
      </c>
    </row>
    <row r="14" ht="20" customHeight="1" s="31">
      <c r="B14" s="4" t="inlineStr">
        <is>
          <t>Eye Relief</t>
        </is>
      </c>
      <c r="C14" s="3" t="inlineStr">
        <is>
          <t>85mm</t>
        </is>
      </c>
      <c r="D14" s="3" t="inlineStr">
        <is>
          <t>85mm</t>
        </is>
      </c>
    </row>
    <row r="15" ht="30" customHeight="1" s="31">
      <c r="B15" s="7" t="inlineStr">
        <is>
          <t>Elevation Range</t>
        </is>
      </c>
      <c r="C15" s="9" t="inlineStr">
        <is>
          <t>±13.1 MIL
Total: 26.2 MIL</t>
        </is>
      </c>
      <c r="D15" s="9" t="inlineStr">
        <is>
          <t>±17.4 MIL
Total: 34.9 MIL</t>
        </is>
      </c>
    </row>
    <row r="16" ht="30" customHeight="1" s="31">
      <c r="B16" s="7" t="inlineStr">
        <is>
          <t>Windage Range</t>
        </is>
      </c>
      <c r="C16" s="9" t="inlineStr">
        <is>
          <t>±13.1 MIL
Total: 26.2 MIL</t>
        </is>
      </c>
      <c r="D16" s="9" t="inlineStr">
        <is>
          <t>±17.4 MIL
Total: 34.9 MIL</t>
        </is>
      </c>
    </row>
    <row r="17" ht="20" customHeight="1" s="31">
      <c r="B17" s="4" t="inlineStr">
        <is>
          <t>Length</t>
        </is>
      </c>
      <c r="C17" s="3" t="inlineStr">
        <is>
          <t>278mm/10.9in</t>
        </is>
      </c>
      <c r="D17" s="3" t="inlineStr">
        <is>
          <t>270mm/10.63in</t>
        </is>
      </c>
    </row>
    <row r="18" ht="20" customHeight="1" s="31">
      <c r="B18" s="4" t="inlineStr">
        <is>
          <t>Weight</t>
        </is>
      </c>
      <c r="C18" s="3" t="inlineStr">
        <is>
          <t>646g/22.7oz</t>
        </is>
      </c>
      <c r="D18" s="3" t="inlineStr">
        <is>
          <t>551g/19.4oz</t>
        </is>
      </c>
    </row>
    <row r="19" ht="20" customHeight="1" s="31">
      <c r="B19" s="4" t="inlineStr">
        <is>
          <t>Side Focus</t>
        </is>
      </c>
      <c r="C19" s="3" t="inlineStr">
        <is>
          <t>/</t>
        </is>
      </c>
      <c r="D19" s="3" t="inlineStr">
        <is>
          <t>/</t>
        </is>
      </c>
    </row>
    <row r="20" ht="20" customHeight="1" s="31">
      <c r="B20" s="4" t="inlineStr">
        <is>
          <t>Turret Function</t>
        </is>
      </c>
      <c r="C20" s="3" t="inlineStr">
        <is>
          <t>/</t>
        </is>
      </c>
      <c r="D20" s="3" t="inlineStr">
        <is>
          <t>/</t>
        </is>
      </c>
    </row>
    <row r="21" ht="39" customHeight="1" s="31">
      <c r="B21" s="3" t="inlineStr">
        <is>
          <t>Click Value</t>
        </is>
      </c>
      <c r="C21" s="3" t="inlineStr">
        <is>
          <t>1/2 MOA</t>
        </is>
      </c>
      <c r="D21" s="3" t="inlineStr">
        <is>
          <t>1/2 MOA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topLeftCell="B1" workbookViewId="0">
      <selection activeCell="F7" sqref="F7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FFP 1-10X26</t>
        </is>
      </c>
      <c r="D3" s="15" t="inlineStr">
        <is>
          <t>FFP 1-10X24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Jupiter</t>
        </is>
      </c>
    </row>
    <row r="5" ht="20" customHeight="1" s="31">
      <c r="B5" s="4" t="inlineStr">
        <is>
          <t>Magnification</t>
        </is>
      </c>
      <c r="C5" s="4" t="inlineStr">
        <is>
          <t>1-10X</t>
        </is>
      </c>
      <c r="D5" s="4" t="inlineStr">
        <is>
          <t>1-10X</t>
        </is>
      </c>
    </row>
    <row r="6" ht="20" customHeight="1" s="31">
      <c r="B6" s="4" t="inlineStr">
        <is>
          <t>Focal Plane</t>
        </is>
      </c>
      <c r="C6" s="4" t="inlineStr">
        <is>
          <t>FFP</t>
        </is>
      </c>
      <c r="D6" s="4" t="inlineStr">
        <is>
          <t>FFP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4" t="inlineStr">
        <is>
          <t>34mm</t>
        </is>
      </c>
      <c r="D8" s="3" t="inlineStr">
        <is>
          <t>30mm</t>
        </is>
      </c>
    </row>
    <row r="9" ht="20" customHeight="1" s="31">
      <c r="B9" s="4" t="inlineStr">
        <is>
          <t>Objective Lens Dia</t>
        </is>
      </c>
      <c r="C9" s="4" t="inlineStr">
        <is>
          <t>26mm</t>
        </is>
      </c>
      <c r="D9" s="3" t="inlineStr">
        <is>
          <t>24mm</t>
        </is>
      </c>
    </row>
    <row r="10" ht="20" customHeight="1" s="31">
      <c r="B10" s="4" t="inlineStr">
        <is>
          <t>Angular Field of View</t>
        </is>
      </c>
      <c r="C10" s="3" t="inlineStr">
        <is>
          <t>26°-3.25°</t>
        </is>
      </c>
      <c r="D10" s="3" t="inlineStr">
        <is>
          <t>24°-2.4°</t>
        </is>
      </c>
    </row>
    <row r="11" ht="20" customHeight="1" s="31">
      <c r="B11" s="4" t="inlineStr">
        <is>
          <t>apparent FOV@1X</t>
        </is>
      </c>
      <c r="C11" s="3" t="inlineStr">
        <is>
          <t>26°</t>
        </is>
      </c>
      <c r="D11" s="3" t="inlineStr">
        <is>
          <t>24°</t>
        </is>
      </c>
    </row>
    <row r="12" ht="20" customHeight="1" s="31">
      <c r="B12" s="4" t="inlineStr">
        <is>
          <t>linear FOV@100yd</t>
        </is>
      </c>
      <c r="C12" s="3" t="inlineStr">
        <is>
          <t>138ft-17.3ft</t>
        </is>
      </c>
      <c r="D12" s="3" t="inlineStr">
        <is>
          <t>128ft-12.8ft</t>
        </is>
      </c>
    </row>
    <row r="13" ht="20" customHeight="1" s="31">
      <c r="B13" s="4" t="inlineStr">
        <is>
          <t>linear FOV@100m</t>
        </is>
      </c>
      <c r="C13" s="3" t="inlineStr">
        <is>
          <t>46.0-5.76m</t>
        </is>
      </c>
      <c r="D13" s="3" t="inlineStr">
        <is>
          <t>42.7-4.27m</t>
        </is>
      </c>
    </row>
    <row r="14" ht="20" customHeight="1" s="31">
      <c r="B14" s="4" t="inlineStr">
        <is>
          <t>Eye Relief</t>
        </is>
      </c>
      <c r="C14" s="3" t="inlineStr">
        <is>
          <t>86mm</t>
        </is>
      </c>
      <c r="D14" s="3" t="inlineStr">
        <is>
          <t>86mm</t>
        </is>
      </c>
    </row>
    <row r="15" ht="30" customHeight="1" s="31">
      <c r="B15" s="7" t="inlineStr">
        <is>
          <t>Elevation Range</t>
        </is>
      </c>
      <c r="C15" s="9" t="inlineStr">
        <is>
          <t>±17.4 MIL
Total: 34.9 MIL</t>
        </is>
      </c>
      <c r="D15" s="9" t="inlineStr">
        <is>
          <t>±17.4 MIL
Total: 34.9 MIL</t>
        </is>
      </c>
    </row>
    <row r="16" ht="30" customHeight="1" s="31">
      <c r="B16" s="7" t="inlineStr">
        <is>
          <t>Windage Range</t>
        </is>
      </c>
      <c r="C16" s="9" t="inlineStr">
        <is>
          <t>±17.4 MIL
Total: 34.9 MIL</t>
        </is>
      </c>
      <c r="D16" s="9" t="inlineStr">
        <is>
          <t>±17.4 MIL
Total: 34.9 MIL</t>
        </is>
      </c>
    </row>
    <row r="17" ht="20" customHeight="1" s="31">
      <c r="B17" s="4" t="inlineStr">
        <is>
          <t>Length</t>
        </is>
      </c>
      <c r="C17" s="3" t="inlineStr">
        <is>
          <t>278mm/10.9in</t>
        </is>
      </c>
      <c r="D17" s="3" t="inlineStr">
        <is>
          <t>270mm/10.63in</t>
        </is>
      </c>
    </row>
    <row r="18" ht="20" customHeight="1" s="31">
      <c r="B18" s="4" t="inlineStr">
        <is>
          <t>Weight</t>
        </is>
      </c>
      <c r="C18" s="3" t="inlineStr">
        <is>
          <t>608g/21.4oz</t>
        </is>
      </c>
      <c r="D18" s="3" t="inlineStr">
        <is>
          <t>527g/18.58oz</t>
        </is>
      </c>
    </row>
    <row r="19" ht="20" customHeight="1" s="31">
      <c r="B19" s="4" t="inlineStr">
        <is>
          <t>Side Focus</t>
        </is>
      </c>
      <c r="C19" s="3" t="inlineStr">
        <is>
          <t>/</t>
        </is>
      </c>
      <c r="D19" s="3" t="inlineStr">
        <is>
          <t>/</t>
        </is>
      </c>
    </row>
    <row r="20" ht="20" customHeight="1" s="31">
      <c r="B20" s="4" t="inlineStr">
        <is>
          <t>Turret Function</t>
        </is>
      </c>
      <c r="C20" s="3" t="inlineStr">
        <is>
          <t>/</t>
        </is>
      </c>
      <c r="D20" s="3" t="inlineStr">
        <is>
          <t>/</t>
        </is>
      </c>
    </row>
    <row r="21" ht="39" customHeight="1" s="31">
      <c r="B21" s="3" t="inlineStr">
        <is>
          <t>Click Value</t>
        </is>
      </c>
      <c r="C21" s="9" t="inlineStr">
        <is>
          <t>1/2 MOA</t>
        </is>
      </c>
      <c r="D21" s="3" t="inlineStr">
        <is>
          <t>1/2 MOA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2"/>
  <sheetViews>
    <sheetView topLeftCell="B1" workbookViewId="0">
      <selection activeCell="B1" sqref="B1:E2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SFP 1-10X28</t>
        </is>
      </c>
      <c r="D3" s="15" t="inlineStr">
        <is>
          <t>SFP 1-10X24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Jupiter</t>
        </is>
      </c>
    </row>
    <row r="5" ht="20" customHeight="1" s="31">
      <c r="B5" s="4" t="inlineStr">
        <is>
          <t>Magnification</t>
        </is>
      </c>
      <c r="C5" s="4" t="inlineStr">
        <is>
          <t>1-10X</t>
        </is>
      </c>
      <c r="D5" s="4" t="inlineStr">
        <is>
          <t>1-10X</t>
        </is>
      </c>
    </row>
    <row r="6" ht="20" customHeight="1" s="31">
      <c r="B6" s="4" t="inlineStr">
        <is>
          <t>Focal Plane</t>
        </is>
      </c>
      <c r="C6" s="4" t="inlineStr">
        <is>
          <t>SFP</t>
        </is>
      </c>
      <c r="D6" s="4" t="inlineStr">
        <is>
          <t>SFP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34mm</t>
        </is>
      </c>
      <c r="D8" s="3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28mm</t>
        </is>
      </c>
      <c r="D9" s="3" t="inlineStr">
        <is>
          <t>24mm</t>
        </is>
      </c>
    </row>
    <row r="10" ht="20" customHeight="1" s="31">
      <c r="B10" s="4" t="inlineStr">
        <is>
          <t>Angular Field of View</t>
        </is>
      </c>
      <c r="C10" s="3" t="inlineStr">
        <is>
          <t>28°-3.5°</t>
        </is>
      </c>
      <c r="D10" s="3" t="inlineStr">
        <is>
          <t>25°-2.5°</t>
        </is>
      </c>
    </row>
    <row r="11" ht="20" customHeight="1" s="31">
      <c r="B11" s="4" t="inlineStr">
        <is>
          <t>apparent FOV@1X</t>
        </is>
      </c>
      <c r="C11" s="3" t="inlineStr">
        <is>
          <t>28°</t>
        </is>
      </c>
      <c r="D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149.6ft-18.3ft</t>
        </is>
      </c>
      <c r="D12" s="3" t="inlineStr">
        <is>
          <t>133ft-13.3ft</t>
        </is>
      </c>
    </row>
    <row r="13" ht="20" customHeight="1" s="31">
      <c r="B13" s="4" t="inlineStr">
        <is>
          <t>linear FOV@100m</t>
        </is>
      </c>
      <c r="C13" s="3" t="inlineStr">
        <is>
          <t>49.9-6.11m</t>
        </is>
      </c>
      <c r="D13" s="3" t="inlineStr">
        <is>
          <t>44.3m-4.43m</t>
        </is>
      </c>
    </row>
    <row r="14" ht="20" customHeight="1" s="31">
      <c r="B14" s="4" t="inlineStr">
        <is>
          <t>Eye Relief</t>
        </is>
      </c>
      <c r="C14" s="3" t="inlineStr">
        <is>
          <t>85mm</t>
        </is>
      </c>
      <c r="D14" s="3" t="inlineStr">
        <is>
          <t>85mm</t>
        </is>
      </c>
    </row>
    <row r="15" ht="30" customHeight="1" s="31">
      <c r="B15" s="7" t="inlineStr">
        <is>
          <t>Elevation Range</t>
        </is>
      </c>
      <c r="C15" s="9" t="inlineStr">
        <is>
          <t>±13.1 MIL
Total: 26.2 MIL</t>
        </is>
      </c>
      <c r="D15" s="9" t="inlineStr">
        <is>
          <t>±17.4 MIL
Total: 34.9 MIL</t>
        </is>
      </c>
    </row>
    <row r="16" ht="30" customHeight="1" s="31">
      <c r="B16" s="7" t="inlineStr">
        <is>
          <t>Windage Range</t>
        </is>
      </c>
      <c r="C16" s="9" t="inlineStr">
        <is>
          <t>±13.1 MIL
Total: 26.2 MIL</t>
        </is>
      </c>
      <c r="D16" s="9" t="inlineStr">
        <is>
          <t>±17.4 MIL
Total: 34.9 MIL</t>
        </is>
      </c>
    </row>
    <row r="17" ht="20" customHeight="1" s="31">
      <c r="B17" s="4" t="inlineStr">
        <is>
          <t>Length</t>
        </is>
      </c>
      <c r="C17" s="3" t="inlineStr">
        <is>
          <t>278mm/10.9in</t>
        </is>
      </c>
      <c r="D17" s="3" t="inlineStr">
        <is>
          <t>270mm/10.63in</t>
        </is>
      </c>
    </row>
    <row r="18" ht="20" customHeight="1" s="31">
      <c r="B18" s="4" t="inlineStr">
        <is>
          <t>Weight</t>
        </is>
      </c>
      <c r="C18" s="3" t="inlineStr">
        <is>
          <t>646g/22.7oz</t>
        </is>
      </c>
      <c r="D18" s="3" t="inlineStr">
        <is>
          <t>553g/19.5oz</t>
        </is>
      </c>
    </row>
    <row r="19" ht="20" customHeight="1" s="31">
      <c r="B19" s="4" t="inlineStr">
        <is>
          <t>Side Focus</t>
        </is>
      </c>
      <c r="C19" s="3" t="inlineStr">
        <is>
          <t>/</t>
        </is>
      </c>
      <c r="D19" s="3" t="inlineStr">
        <is>
          <t>/</t>
        </is>
      </c>
    </row>
    <row r="20" ht="20" customHeight="1" s="31">
      <c r="B20" s="4" t="inlineStr">
        <is>
          <t>Turret Function</t>
        </is>
      </c>
      <c r="C20" s="3" t="inlineStr">
        <is>
          <t>/</t>
        </is>
      </c>
      <c r="D20" s="3" t="inlineStr">
        <is>
          <t>/</t>
        </is>
      </c>
    </row>
    <row r="21" ht="39" customHeight="1" s="31">
      <c r="B21" s="3" t="inlineStr">
        <is>
          <t>Click Value</t>
        </is>
      </c>
      <c r="C21" s="3" t="inlineStr">
        <is>
          <t>1/2 MOA</t>
        </is>
      </c>
      <c r="D21" s="3" t="inlineStr">
        <is>
          <t>1/2 MOA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H6" sqref="H6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FFP 2-16X44</t>
        </is>
      </c>
      <c r="D3" s="15" t="inlineStr">
        <is>
          <t>FFP 2-12X44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2-16X</t>
        </is>
      </c>
      <c r="D5" s="4" t="inlineStr">
        <is>
          <t>2-12X</t>
        </is>
      </c>
    </row>
    <row r="6" ht="20" customHeight="1" s="31">
      <c r="B6" s="4" t="inlineStr">
        <is>
          <t>Focal Plane</t>
        </is>
      </c>
      <c r="C6" s="4" t="inlineStr">
        <is>
          <t>First Focal Plane</t>
        </is>
      </c>
      <c r="D6" s="4" t="inlineStr">
        <is>
          <t>First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30mm</t>
        </is>
      </c>
      <c r="D8" s="4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44mm</t>
        </is>
      </c>
      <c r="D9" s="4" t="inlineStr">
        <is>
          <t>44mm</t>
        </is>
      </c>
    </row>
    <row r="10" ht="20" customHeight="1" s="31">
      <c r="B10" s="4" t="inlineStr">
        <is>
          <t>Angular Field of View</t>
        </is>
      </c>
      <c r="C10" s="3" t="inlineStr">
        <is>
          <t>12.5-1.56°</t>
        </is>
      </c>
      <c r="D10" s="3" t="inlineStr">
        <is>
          <t>12.5-2.08°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65.4-8.18ft</t>
        </is>
      </c>
      <c r="D12" s="3" t="inlineStr">
        <is>
          <t>65.4-10.9ft</t>
        </is>
      </c>
    </row>
    <row r="13" ht="20" customHeight="1" s="31">
      <c r="B13" s="4" t="inlineStr">
        <is>
          <t>linear FOV@100m</t>
        </is>
      </c>
      <c r="C13" s="3" t="inlineStr">
        <is>
          <t>21.9-2.72m</t>
        </is>
      </c>
      <c r="D13" s="3" t="inlineStr">
        <is>
          <t>21.9-3.63m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3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±24.7 MIL
Total: 49.5 MIL</t>
        </is>
      </c>
      <c r="D15" s="5" t="inlineStr">
        <is>
          <t>±24.7 MIL
Total: 49.5 MIL</t>
        </is>
      </c>
    </row>
    <row r="16" ht="30" customHeight="1" s="31">
      <c r="B16" s="7" t="inlineStr">
        <is>
          <t>Windage Range</t>
        </is>
      </c>
      <c r="C16" s="5" t="inlineStr">
        <is>
          <t>±20.4 MIL
Total: 40.7 MIL</t>
        </is>
      </c>
      <c r="D16" s="5" t="inlineStr">
        <is>
          <t>±20.4 MIL
Total: 40.7 MIL</t>
        </is>
      </c>
    </row>
    <row r="17" ht="20" customHeight="1" s="31">
      <c r="B17" s="4" t="inlineStr">
        <is>
          <t>Length</t>
        </is>
      </c>
      <c r="C17" s="3" t="inlineStr">
        <is>
          <t>307mm</t>
        </is>
      </c>
      <c r="D17" s="3" t="inlineStr">
        <is>
          <t>307mm</t>
        </is>
      </c>
    </row>
    <row r="18" ht="20" customHeight="1" s="31">
      <c r="B18" s="4" t="inlineStr">
        <is>
          <t>Weight</t>
        </is>
      </c>
      <c r="C18" s="3" t="inlineStr">
        <is>
          <t>715g</t>
        </is>
      </c>
      <c r="D18" s="3" t="inlineStr">
        <is>
          <t>710g</t>
        </is>
      </c>
    </row>
    <row r="19" ht="20" customHeight="1" s="31">
      <c r="B19" s="4" t="inlineStr">
        <is>
          <t>Side Focus</t>
        </is>
      </c>
      <c r="C19" s="3" t="inlineStr">
        <is>
          <t>10yds-inf</t>
        </is>
      </c>
      <c r="D19" s="3" t="inlineStr">
        <is>
          <t>10yds-inf</t>
        </is>
      </c>
    </row>
    <row r="20" ht="38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J7" sqref="J7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SFP 2-16X44</t>
        </is>
      </c>
      <c r="D3" s="15" t="inlineStr">
        <is>
          <t>SFP 2-12X44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2-16X</t>
        </is>
      </c>
      <c r="D5" s="4" t="inlineStr">
        <is>
          <t>2-12X</t>
        </is>
      </c>
    </row>
    <row r="6" ht="20" customHeight="1" s="31">
      <c r="B6" s="4" t="inlineStr">
        <is>
          <t>Focal Plane</t>
        </is>
      </c>
      <c r="C6" s="4" t="inlineStr">
        <is>
          <t>Second Focal Plane</t>
        </is>
      </c>
      <c r="D6" s="4" t="inlineStr">
        <is>
          <t>Second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30mm</t>
        </is>
      </c>
      <c r="D8" s="4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44mm</t>
        </is>
      </c>
      <c r="D9" s="4" t="inlineStr">
        <is>
          <t>44mm</t>
        </is>
      </c>
    </row>
    <row r="10" ht="20" customHeight="1" s="31">
      <c r="B10" s="4" t="inlineStr">
        <is>
          <t>Angular Field of View</t>
        </is>
      </c>
      <c r="C10" s="3" t="inlineStr">
        <is>
          <t>12.5-1.56°</t>
        </is>
      </c>
      <c r="D10" s="3" t="inlineStr">
        <is>
          <t>12.5-2.08°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65.4-8.18ft</t>
        </is>
      </c>
      <c r="D12" s="3" t="inlineStr">
        <is>
          <t>65.4-10.9ft</t>
        </is>
      </c>
    </row>
    <row r="13" ht="20" customHeight="1" s="31">
      <c r="B13" s="4" t="inlineStr">
        <is>
          <t>linear FOV@100m</t>
        </is>
      </c>
      <c r="C13" s="3" t="inlineStr">
        <is>
          <t>21.9-2.72m</t>
        </is>
      </c>
      <c r="D13" s="3" t="inlineStr">
        <is>
          <t>21.9-3.63m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3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±24.7 MIL
Total: 49.5 MIL</t>
        </is>
      </c>
      <c r="D15" s="5" t="inlineStr">
        <is>
          <t>±24.7 MIL
Total: 49.5 MIL</t>
        </is>
      </c>
    </row>
    <row r="16" ht="30" customHeight="1" s="31">
      <c r="B16" s="7" t="inlineStr">
        <is>
          <t>Windage Range</t>
        </is>
      </c>
      <c r="C16" s="5" t="inlineStr">
        <is>
          <t>±20.4 MIL
Total: 40.7 MIL</t>
        </is>
      </c>
      <c r="D16" s="5" t="inlineStr">
        <is>
          <t>±20.4 MIL
Total: 40.7 MIL</t>
        </is>
      </c>
    </row>
    <row r="17" ht="20" customHeight="1" s="31">
      <c r="B17" s="4" t="inlineStr">
        <is>
          <t>Length</t>
        </is>
      </c>
      <c r="C17" s="3" t="inlineStr">
        <is>
          <t>307mm</t>
        </is>
      </c>
      <c r="D17" s="3" t="inlineStr">
        <is>
          <t>307mm</t>
        </is>
      </c>
    </row>
    <row r="18" ht="20" customHeight="1" s="31">
      <c r="B18" s="4" t="inlineStr">
        <is>
          <t>Weight</t>
        </is>
      </c>
      <c r="C18" s="3" t="inlineStr">
        <is>
          <t>715g</t>
        </is>
      </c>
      <c r="D18" s="3" t="inlineStr">
        <is>
          <t>710g</t>
        </is>
      </c>
    </row>
    <row r="19" ht="20" customHeight="1" s="31">
      <c r="B19" s="4" t="inlineStr">
        <is>
          <t>Side Focus</t>
        </is>
      </c>
      <c r="C19" s="3" t="inlineStr">
        <is>
          <t>10yds-inf</t>
        </is>
      </c>
      <c r="D19" s="3" t="inlineStr">
        <is>
          <t>10yds-inf</t>
        </is>
      </c>
    </row>
    <row r="20" ht="38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L10" sqref="L9:L10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6"/>
  </cols>
  <sheetData>
    <row r="1" ht="15" customHeight="1" s="31"/>
    <row r="2" ht="15" customHeight="1" s="31"/>
    <row r="3" ht="20" customHeight="1" s="31">
      <c r="C3" s="3" t="inlineStr">
        <is>
          <t>FFP2.5-20X50</t>
        </is>
      </c>
      <c r="D3" s="3" t="inlineStr">
        <is>
          <t>FFP2.5-15X50</t>
        </is>
      </c>
      <c r="E3" s="3" t="inlineStr">
        <is>
          <t>FFP3-18X50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Venus</t>
        </is>
      </c>
      <c r="E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2.5-20X</t>
        </is>
      </c>
      <c r="D5" s="4" t="inlineStr">
        <is>
          <t>2.5-15X</t>
        </is>
      </c>
      <c r="E5" s="4" t="inlineStr">
        <is>
          <t>3-18X</t>
        </is>
      </c>
    </row>
    <row r="6" ht="20" customHeight="1" s="31">
      <c r="B6" s="4" t="inlineStr">
        <is>
          <t>Focal Plane</t>
        </is>
      </c>
      <c r="C6" s="4" t="inlineStr">
        <is>
          <t>First Focal Plane</t>
        </is>
      </c>
      <c r="D6" s="4" t="inlineStr">
        <is>
          <t>First Focal Plane</t>
        </is>
      </c>
      <c r="E6" s="4" t="inlineStr">
        <is>
          <t>First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  <c r="E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30mm</t>
        </is>
      </c>
      <c r="D8" s="4" t="inlineStr">
        <is>
          <t>30mm</t>
        </is>
      </c>
      <c r="E8" s="4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50mm</t>
        </is>
      </c>
      <c r="D9" s="3" t="inlineStr">
        <is>
          <t>50mm</t>
        </is>
      </c>
      <c r="E9" s="3" t="inlineStr">
        <is>
          <t>50mm</t>
        </is>
      </c>
    </row>
    <row r="10" ht="20" customHeight="1" s="31">
      <c r="B10" s="4" t="inlineStr">
        <is>
          <t>Angular Field of View</t>
        </is>
      </c>
      <c r="C10" s="3" t="inlineStr">
        <is>
          <t>10-1.25°</t>
        </is>
      </c>
      <c r="D10" s="3" t="inlineStr">
        <is>
          <t>10-1.66°</t>
        </is>
      </c>
      <c r="E10" s="3" t="inlineStr">
        <is>
          <t>8.33-1.38°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  <c r="E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52.5-6.56ft</t>
        </is>
      </c>
      <c r="D12" s="3" t="inlineStr">
        <is>
          <t>52.5-8.7ft</t>
        </is>
      </c>
      <c r="E12" s="3" t="inlineStr">
        <is>
          <t>43.7-7.23ft</t>
        </is>
      </c>
    </row>
    <row r="13" ht="20" customHeight="1" s="31">
      <c r="B13" s="4" t="inlineStr">
        <is>
          <t>linear FOV@100m</t>
        </is>
      </c>
      <c r="C13" s="3" t="inlineStr">
        <is>
          <t>17.5m-2.18m</t>
        </is>
      </c>
      <c r="D13" s="3" t="inlineStr">
        <is>
          <t>17.5-2.89m</t>
        </is>
      </c>
      <c r="E13" s="3" t="inlineStr">
        <is>
          <t>14.56-2.4m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3" t="inlineStr">
        <is>
          <t>91mm</t>
        </is>
      </c>
      <c r="E14" s="3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±18.9 MIL
Total: 37.8 MIL</t>
        </is>
      </c>
      <c r="D15" s="5" t="inlineStr">
        <is>
          <t>±18.9 MIL
Total: 37.8 MIL</t>
        </is>
      </c>
      <c r="E15" s="5" t="inlineStr">
        <is>
          <t>±18.9 MIL
Total: 37.8 MIL</t>
        </is>
      </c>
    </row>
    <row r="16" ht="30" customHeight="1" s="31">
      <c r="B16" s="7" t="inlineStr">
        <is>
          <t>Windage Range</t>
        </is>
      </c>
      <c r="C16" s="5" t="inlineStr">
        <is>
          <t>±16.0 MIL
Total: 32.0 MIL</t>
        </is>
      </c>
      <c r="D16" s="5" t="inlineStr">
        <is>
          <t>±16.0 MIL
Total: 32.0 MIL</t>
        </is>
      </c>
      <c r="E16" s="5" t="inlineStr">
        <is>
          <t>±16.0 MIL
Total: 32.0 MIL</t>
        </is>
      </c>
    </row>
    <row r="17" ht="20" customHeight="1" s="31">
      <c r="B17" s="4" t="inlineStr">
        <is>
          <t>Length</t>
        </is>
      </c>
      <c r="C17" s="3" t="inlineStr">
        <is>
          <t>331mm/13in</t>
        </is>
      </c>
      <c r="D17" s="3" t="inlineStr">
        <is>
          <t>331mm/13in</t>
        </is>
      </c>
      <c r="E17" s="3" t="inlineStr">
        <is>
          <t>352mm</t>
        </is>
      </c>
    </row>
    <row r="18" ht="20" customHeight="1" s="31">
      <c r="B18" s="4" t="inlineStr">
        <is>
          <t>Weight</t>
        </is>
      </c>
      <c r="C18" s="3" t="inlineStr">
        <is>
          <t>840g/29.6oz</t>
        </is>
      </c>
      <c r="D18" s="3" t="inlineStr">
        <is>
          <t>840g/29.6oz</t>
        </is>
      </c>
      <c r="E18" s="3" t="inlineStr">
        <is>
          <t>785g</t>
        </is>
      </c>
    </row>
    <row r="19" ht="20" customHeight="1" s="31">
      <c r="B19" s="4" t="inlineStr">
        <is>
          <t>Side Focus</t>
        </is>
      </c>
      <c r="C19" s="3" t="inlineStr">
        <is>
          <t>10yds - inf</t>
        </is>
      </c>
      <c r="D19" s="3" t="inlineStr">
        <is>
          <t>10yds - inf</t>
        </is>
      </c>
      <c r="E19" s="3" t="inlineStr">
        <is>
          <t>10yds - inf</t>
        </is>
      </c>
    </row>
    <row r="20" ht="42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  <c r="E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  <c r="E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  <c r="E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  <c r="E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  <c r="E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  <c r="E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H15" sqref="H14:H15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6"/>
  </cols>
  <sheetData>
    <row r="1" ht="15" customHeight="1" s="31"/>
    <row r="2" ht="15" customHeight="1" s="31"/>
    <row r="3" ht="20" customHeight="1" s="31">
      <c r="C3" s="3" t="inlineStr">
        <is>
          <t>SFP 2.5-20X50</t>
        </is>
      </c>
      <c r="D3" s="3" t="inlineStr">
        <is>
          <t>SFP 2.5-15X50</t>
        </is>
      </c>
      <c r="E3" s="3" t="inlineStr">
        <is>
          <t>SFP 3-18X50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Venus</t>
        </is>
      </c>
      <c r="E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2.5-20X</t>
        </is>
      </c>
      <c r="D5" s="4" t="inlineStr">
        <is>
          <t>2.5-15X</t>
        </is>
      </c>
      <c r="E5" s="4" t="inlineStr">
        <is>
          <t>3-18X</t>
        </is>
      </c>
    </row>
    <row r="6" ht="20" customHeight="1" s="31">
      <c r="B6" s="4" t="inlineStr">
        <is>
          <t>Focal Plane</t>
        </is>
      </c>
      <c r="C6" s="4" t="inlineStr">
        <is>
          <t>Second Focal Plane</t>
        </is>
      </c>
      <c r="D6" s="4" t="inlineStr">
        <is>
          <t>Second Focal Plane</t>
        </is>
      </c>
      <c r="E6" s="4" t="inlineStr">
        <is>
          <t>Second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  <c r="E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30mm</t>
        </is>
      </c>
      <c r="D8" s="4" t="inlineStr">
        <is>
          <t>30mm</t>
        </is>
      </c>
      <c r="E8" s="4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50mm</t>
        </is>
      </c>
      <c r="D9" s="3" t="inlineStr">
        <is>
          <t>50mm</t>
        </is>
      </c>
      <c r="E9" s="3" t="inlineStr">
        <is>
          <t>50mm</t>
        </is>
      </c>
    </row>
    <row r="10" ht="20" customHeight="1" s="31">
      <c r="B10" s="4" t="inlineStr">
        <is>
          <t>Angular Field of View</t>
        </is>
      </c>
      <c r="C10" s="3" t="inlineStr">
        <is>
          <t>10-1.25°</t>
        </is>
      </c>
      <c r="D10" s="3" t="inlineStr">
        <is>
          <t>10-1.66°</t>
        </is>
      </c>
      <c r="E10" s="3" t="inlineStr">
        <is>
          <t>8.33-1.38°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  <c r="E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52.5-6.56ft</t>
        </is>
      </c>
      <c r="D12" s="3" t="inlineStr">
        <is>
          <t>52.5-8.7ft</t>
        </is>
      </c>
      <c r="E12" s="3" t="inlineStr">
        <is>
          <t>43.7-7.23ft</t>
        </is>
      </c>
    </row>
    <row r="13" ht="20" customHeight="1" s="31">
      <c r="B13" s="4" t="inlineStr">
        <is>
          <t>linear FOV@100m</t>
        </is>
      </c>
      <c r="C13" s="3" t="inlineStr">
        <is>
          <t>17.5m-2.18m</t>
        </is>
      </c>
      <c r="D13" s="3" t="inlineStr">
        <is>
          <t>17.5-2.89m</t>
        </is>
      </c>
      <c r="E13" s="3" t="inlineStr">
        <is>
          <t>14.56-2.4m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3" t="inlineStr">
        <is>
          <t>91mm</t>
        </is>
      </c>
      <c r="E14" s="3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±18.9 MIL
Total: 37.8 MIL</t>
        </is>
      </c>
      <c r="D15" s="5" t="inlineStr">
        <is>
          <t>±18.9 MIL
Total: 37.8 MIL</t>
        </is>
      </c>
      <c r="E15" s="5" t="inlineStr">
        <is>
          <t>±18.9 MIL
Total: 37.8 MIL</t>
        </is>
      </c>
    </row>
    <row r="16" ht="30" customHeight="1" s="31">
      <c r="B16" s="7" t="inlineStr">
        <is>
          <t>Windage Range</t>
        </is>
      </c>
      <c r="C16" s="5" t="inlineStr">
        <is>
          <t>±16.0 MIL
Total: 32.0 MIL</t>
        </is>
      </c>
      <c r="D16" s="5" t="inlineStr">
        <is>
          <t>±16.0 MIL
Total: 32.0 MIL</t>
        </is>
      </c>
      <c r="E16" s="5" t="inlineStr">
        <is>
          <t>±16.0 MIL
Total: 32.0 MIL</t>
        </is>
      </c>
    </row>
    <row r="17" ht="20" customHeight="1" s="31">
      <c r="B17" s="4" t="inlineStr">
        <is>
          <t>Length</t>
        </is>
      </c>
      <c r="C17" s="3" t="inlineStr">
        <is>
          <t>331mm/13in</t>
        </is>
      </c>
      <c r="D17" s="3" t="inlineStr">
        <is>
          <t>331mm/13in</t>
        </is>
      </c>
      <c r="E17" s="3" t="inlineStr">
        <is>
          <t>352mm</t>
        </is>
      </c>
    </row>
    <row r="18" ht="20" customHeight="1" s="31">
      <c r="B18" s="4" t="inlineStr">
        <is>
          <t>Weight</t>
        </is>
      </c>
      <c r="C18" s="3" t="inlineStr">
        <is>
          <t>840g/29.6oz</t>
        </is>
      </c>
      <c r="D18" s="3" t="inlineStr">
        <is>
          <t>840g/29.6oz</t>
        </is>
      </c>
      <c r="E18" s="3" t="inlineStr">
        <is>
          <t>785g</t>
        </is>
      </c>
    </row>
    <row r="19" ht="20" customHeight="1" s="31">
      <c r="B19" s="4" t="inlineStr">
        <is>
          <t>Side Focus</t>
        </is>
      </c>
      <c r="C19" s="3" t="inlineStr">
        <is>
          <t>10yds - inf</t>
        </is>
      </c>
      <c r="D19" s="3" t="inlineStr">
        <is>
          <t>10yds - inf</t>
        </is>
      </c>
      <c r="E19" s="3" t="inlineStr">
        <is>
          <t>10yds - inf</t>
        </is>
      </c>
    </row>
    <row r="20" ht="42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  <c r="E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  <c r="E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  <c r="E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  <c r="E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  <c r="E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  <c r="E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G7" sqref="G7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FFP3-24X50</t>
        </is>
      </c>
      <c r="D3" s="15" t="inlineStr">
        <is>
          <t>FFP 4-24X50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3-24X</t>
        </is>
      </c>
      <c r="D5" s="4" t="inlineStr">
        <is>
          <t>4-24X</t>
        </is>
      </c>
    </row>
    <row r="6" ht="20" customHeight="1" s="31">
      <c r="B6" s="4" t="inlineStr">
        <is>
          <t>Focal Plane</t>
        </is>
      </c>
      <c r="C6" s="4" t="inlineStr">
        <is>
          <t>First Focal Plane</t>
        </is>
      </c>
      <c r="D6" s="4" t="inlineStr">
        <is>
          <t>First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30mm</t>
        </is>
      </c>
      <c r="D8" s="4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50mm</t>
        </is>
      </c>
      <c r="D9" s="3" t="inlineStr">
        <is>
          <t>50mm</t>
        </is>
      </c>
    </row>
    <row r="10" ht="20" customHeight="1" s="31">
      <c r="B10" s="4" t="inlineStr">
        <is>
          <t>Angular Field of View</t>
        </is>
      </c>
      <c r="C10" s="3" t="inlineStr">
        <is>
          <t>8.33-1.04°</t>
        </is>
      </c>
      <c r="D10" s="3" t="inlineStr">
        <is>
          <t>6.25-1.04°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43.6-5.44ft</t>
        </is>
      </c>
      <c r="D12" s="3" t="inlineStr">
        <is>
          <t>32.75-5.44ft</t>
        </is>
      </c>
    </row>
    <row r="13" ht="20" customHeight="1" s="31">
      <c r="B13" s="4" t="inlineStr">
        <is>
          <t>linear FOV@100m</t>
        </is>
      </c>
      <c r="C13" s="3" t="inlineStr">
        <is>
          <t>14.54-1.81m</t>
        </is>
      </c>
      <c r="D13" s="3" t="inlineStr">
        <is>
          <t>10.93-1.81m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3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±16.0 MIL
Total: 32.0 MIL</t>
        </is>
      </c>
      <c r="D15" s="5" t="inlineStr">
        <is>
          <t>±16.0 MIL
Total: 32.0 MIL</t>
        </is>
      </c>
    </row>
    <row r="16" ht="30" customHeight="1" s="31">
      <c r="B16" s="7" t="inlineStr">
        <is>
          <t>Windage Range</t>
        </is>
      </c>
      <c r="C16" s="5" t="inlineStr">
        <is>
          <t>±13.1 MIL
Total: 26.2 MIL</t>
        </is>
      </c>
      <c r="D16" s="5" t="inlineStr">
        <is>
          <t>±13.1 MIL
Total: 26.2 MIL</t>
        </is>
      </c>
    </row>
    <row r="17" ht="20" customHeight="1" s="31">
      <c r="B17" s="4" t="inlineStr">
        <is>
          <t>Length</t>
        </is>
      </c>
      <c r="C17" s="3" t="inlineStr">
        <is>
          <t>352mm</t>
        </is>
      </c>
      <c r="D17" s="3" t="inlineStr">
        <is>
          <t>375mm</t>
        </is>
      </c>
    </row>
    <row r="18" ht="20" customHeight="1" s="31">
      <c r="B18" s="4" t="inlineStr">
        <is>
          <t>Weight</t>
        </is>
      </c>
      <c r="C18" s="3" t="inlineStr">
        <is>
          <t>792g</t>
        </is>
      </c>
      <c r="D18" s="3" t="inlineStr">
        <is>
          <t>870g</t>
        </is>
      </c>
    </row>
    <row r="19" ht="20" customHeight="1" s="31">
      <c r="B19" s="4" t="inlineStr">
        <is>
          <t>Side Focus</t>
        </is>
      </c>
      <c r="C19" s="3" t="inlineStr">
        <is>
          <t>15yds - inf</t>
        </is>
      </c>
      <c r="D19" s="3" t="inlineStr">
        <is>
          <t>15yds - inf</t>
        </is>
      </c>
    </row>
    <row r="20" ht="35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G5" sqref="G5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SFP 3-24X50</t>
        </is>
      </c>
      <c r="D3" s="15" t="inlineStr">
        <is>
          <t>SFP 4-24X50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3-24X</t>
        </is>
      </c>
      <c r="D5" s="4" t="inlineStr">
        <is>
          <t>4-24X</t>
        </is>
      </c>
    </row>
    <row r="6" ht="20" customHeight="1" s="31">
      <c r="B6" s="4" t="inlineStr">
        <is>
          <t>Focal Plane</t>
        </is>
      </c>
      <c r="C6" s="4" t="inlineStr">
        <is>
          <t>Second Focal Plane</t>
        </is>
      </c>
      <c r="D6" s="4" t="inlineStr">
        <is>
          <t>Second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30mm</t>
        </is>
      </c>
      <c r="D8" s="4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50mm</t>
        </is>
      </c>
      <c r="D9" s="3" t="inlineStr">
        <is>
          <t>50mm</t>
        </is>
      </c>
    </row>
    <row r="10" ht="20" customHeight="1" s="31">
      <c r="B10" s="4" t="inlineStr">
        <is>
          <t>Angular Field of View</t>
        </is>
      </c>
      <c r="C10" s="3" t="inlineStr">
        <is>
          <t>8.33-1.04°</t>
        </is>
      </c>
      <c r="D10" s="3" t="inlineStr">
        <is>
          <t>6.25-1.04°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43.6-5.44ft</t>
        </is>
      </c>
      <c r="D12" s="3" t="inlineStr">
        <is>
          <t>32.75-5.44ft</t>
        </is>
      </c>
    </row>
    <row r="13" ht="20" customHeight="1" s="31">
      <c r="B13" s="4" t="inlineStr">
        <is>
          <t>linear FOV@100m</t>
        </is>
      </c>
      <c r="C13" s="3" t="inlineStr">
        <is>
          <t>14.54-1.81m</t>
        </is>
      </c>
      <c r="D13" s="3" t="inlineStr">
        <is>
          <t>10.93-1.81m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3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±16.0 MIL
Total: 32.0 MIL</t>
        </is>
      </c>
      <c r="D15" s="5" t="inlineStr">
        <is>
          <t>±16.0 MIL
Total: 32.0 MIL</t>
        </is>
      </c>
    </row>
    <row r="16" ht="30" customHeight="1" s="31">
      <c r="B16" s="7" t="inlineStr">
        <is>
          <t>Windage Range</t>
        </is>
      </c>
      <c r="C16" s="5" t="inlineStr">
        <is>
          <t>±13.1 MIL
Total: 26.2 MIL</t>
        </is>
      </c>
      <c r="D16" s="5" t="inlineStr">
        <is>
          <t>±13.1 MIL
Total: 26.2 MIL</t>
        </is>
      </c>
    </row>
    <row r="17" ht="20" customHeight="1" s="31">
      <c r="B17" s="4" t="inlineStr">
        <is>
          <t>Length</t>
        </is>
      </c>
      <c r="C17" s="3" t="inlineStr">
        <is>
          <t>352mm</t>
        </is>
      </c>
      <c r="D17" s="3" t="inlineStr">
        <is>
          <t>375mm</t>
        </is>
      </c>
    </row>
    <row r="18" ht="20" customHeight="1" s="31">
      <c r="B18" s="4" t="inlineStr">
        <is>
          <t>Weight</t>
        </is>
      </c>
      <c r="C18" s="3" t="inlineStr">
        <is>
          <t>792g</t>
        </is>
      </c>
      <c r="D18" s="3" t="inlineStr">
        <is>
          <t>870g</t>
        </is>
      </c>
    </row>
    <row r="19" ht="20" customHeight="1" s="31">
      <c r="B19" s="4" t="inlineStr">
        <is>
          <t>Side Focus</t>
        </is>
      </c>
      <c r="C19" s="3" t="inlineStr">
        <is>
          <t>15yds - inf</t>
        </is>
      </c>
      <c r="D19" s="3" t="inlineStr">
        <is>
          <t>15yds - inf</t>
        </is>
      </c>
    </row>
    <row r="20" ht="35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E4" sqref="E4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FFP 3.125-25X50</t>
        </is>
      </c>
      <c r="D3" s="15" t="inlineStr">
        <is>
          <t>FFP 5-25X50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3.125-25X</t>
        </is>
      </c>
      <c r="D5" s="4" t="inlineStr">
        <is>
          <t>5-25X</t>
        </is>
      </c>
    </row>
    <row r="6" ht="20" customHeight="1" s="31">
      <c r="B6" s="4" t="inlineStr">
        <is>
          <t>Focal Plane</t>
        </is>
      </c>
      <c r="C6" s="4" t="inlineStr">
        <is>
          <t>First Focal Plane</t>
        </is>
      </c>
      <c r="D6" s="4" t="inlineStr">
        <is>
          <t>First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30mm</t>
        </is>
      </c>
      <c r="D8" s="4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50mm</t>
        </is>
      </c>
      <c r="D9" s="3" t="inlineStr">
        <is>
          <t>50mm</t>
        </is>
      </c>
    </row>
    <row r="10" ht="20" customHeight="1" s="31">
      <c r="B10" s="4" t="inlineStr">
        <is>
          <t>Angular Field of View</t>
        </is>
      </c>
      <c r="C10" s="3" t="inlineStr">
        <is>
          <t>8-1°</t>
        </is>
      </c>
      <c r="D10" s="3" t="inlineStr">
        <is>
          <t>5-1°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41.95-5.24ft</t>
        </is>
      </c>
      <c r="D12" s="3" t="inlineStr">
        <is>
          <t>26.2-5.24ft</t>
        </is>
      </c>
    </row>
    <row r="13" ht="20" customHeight="1" s="31">
      <c r="B13" s="4" t="inlineStr">
        <is>
          <t>linear FOV@100m</t>
        </is>
      </c>
      <c r="C13" s="3" t="inlineStr">
        <is>
          <t>13.99-1.75m</t>
        </is>
      </c>
      <c r="D13" s="3" t="inlineStr">
        <is>
          <t>8.74m-1.75m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3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±16.0 MIL
Total: 32.0 MIL</t>
        </is>
      </c>
      <c r="D15" s="5" t="inlineStr">
        <is>
          <t>±16.0 MIL
Total: 32.0 MIL</t>
        </is>
      </c>
    </row>
    <row r="16" ht="30" customHeight="1" s="31">
      <c r="B16" s="7" t="inlineStr">
        <is>
          <t>Windage Range</t>
        </is>
      </c>
      <c r="C16" s="5" t="inlineStr">
        <is>
          <t>±13.1 MIL
Total: 26.2 MIL</t>
        </is>
      </c>
      <c r="D16" s="5" t="inlineStr">
        <is>
          <t>±13.1 MIL
Total: 26.2 MIL</t>
        </is>
      </c>
    </row>
    <row r="17" ht="20" customHeight="1" s="31">
      <c r="B17" s="4" t="inlineStr">
        <is>
          <t>Length</t>
        </is>
      </c>
      <c r="C17" s="3" t="inlineStr">
        <is>
          <t>349mm =13.7"</t>
        </is>
      </c>
      <c r="D17" s="3" t="inlineStr">
        <is>
          <t>349mm =13.7"</t>
        </is>
      </c>
    </row>
    <row r="18" ht="20" customHeight="1" s="31">
      <c r="B18" s="4" t="inlineStr">
        <is>
          <t>Weight</t>
        </is>
      </c>
      <c r="C18" s="3" t="inlineStr">
        <is>
          <t>765g =27oz</t>
        </is>
      </c>
      <c r="D18" s="3" t="inlineStr">
        <is>
          <t>765g =27oz</t>
        </is>
      </c>
    </row>
    <row r="19" ht="20" customHeight="1" s="31">
      <c r="B19" s="4" t="inlineStr">
        <is>
          <t>Side Focus</t>
        </is>
      </c>
      <c r="C19" s="3" t="inlineStr">
        <is>
          <t>15 Yards - ∞</t>
        </is>
      </c>
      <c r="D19" s="3" t="inlineStr">
        <is>
          <t>15 Yards - ∞</t>
        </is>
      </c>
    </row>
    <row r="20" ht="40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H26" sqref="H26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5"/>
  </cols>
  <sheetData>
    <row r="1" ht="15" customHeight="1" s="31"/>
    <row r="2" ht="15" customHeight="1" s="31"/>
    <row r="3" ht="20" customHeight="1" s="31">
      <c r="C3" s="15" t="inlineStr">
        <is>
          <t>SFP 3.125-25X50</t>
        </is>
      </c>
      <c r="D3" s="15" t="inlineStr">
        <is>
          <t>SFP 5-25X50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3.125-25X</t>
        </is>
      </c>
      <c r="D5" s="4" t="inlineStr">
        <is>
          <t>5-25X</t>
        </is>
      </c>
    </row>
    <row r="6" ht="20" customHeight="1" s="31">
      <c r="B6" s="4" t="inlineStr">
        <is>
          <t>Focal Plane</t>
        </is>
      </c>
      <c r="C6" s="4" t="inlineStr">
        <is>
          <t>Second Focal Plane</t>
        </is>
      </c>
      <c r="D6" s="4" t="inlineStr">
        <is>
          <t>Second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30mm</t>
        </is>
      </c>
      <c r="D8" s="4" t="inlineStr">
        <is>
          <t>30mm</t>
        </is>
      </c>
    </row>
    <row r="9" ht="20" customHeight="1" s="31">
      <c r="B9" s="4" t="inlineStr">
        <is>
          <t>Objective Lens Dia</t>
        </is>
      </c>
      <c r="C9" s="3" t="inlineStr">
        <is>
          <t>50mm</t>
        </is>
      </c>
      <c r="D9" s="3" t="inlineStr">
        <is>
          <t>50mm</t>
        </is>
      </c>
    </row>
    <row r="10" ht="20" customHeight="1" s="31">
      <c r="B10" s="4" t="inlineStr">
        <is>
          <t>Angular Field of View</t>
        </is>
      </c>
      <c r="C10" s="3" t="inlineStr">
        <is>
          <t>8-1°</t>
        </is>
      </c>
      <c r="D10" s="3" t="inlineStr">
        <is>
          <t>5-1°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41.95-5.24ft</t>
        </is>
      </c>
      <c r="D12" s="3" t="inlineStr">
        <is>
          <t>26.2-5.24ft</t>
        </is>
      </c>
    </row>
    <row r="13" ht="20" customHeight="1" s="31">
      <c r="B13" s="4" t="inlineStr">
        <is>
          <t>linear FOV@100m</t>
        </is>
      </c>
      <c r="C13" s="3" t="inlineStr">
        <is>
          <t>13.99-1.75m</t>
        </is>
      </c>
      <c r="D13" s="3" t="inlineStr">
        <is>
          <t>8.74m-1.75m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3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±16.0 MIL
Total: 32.0 MIL</t>
        </is>
      </c>
      <c r="D15" s="5" t="inlineStr">
        <is>
          <t>±16.0 MIL
Total: 32.0 MIL</t>
        </is>
      </c>
    </row>
    <row r="16" ht="30" customHeight="1" s="31">
      <c r="B16" s="7" t="inlineStr">
        <is>
          <t>Windage Range</t>
        </is>
      </c>
      <c r="C16" s="5" t="inlineStr">
        <is>
          <t>±13.1 MIL
Total: 26.2 MIL</t>
        </is>
      </c>
      <c r="D16" s="5" t="inlineStr">
        <is>
          <t>±13.1 MIL
Total: 26.2 MIL</t>
        </is>
      </c>
    </row>
    <row r="17" ht="20" customHeight="1" s="31">
      <c r="B17" s="4" t="inlineStr">
        <is>
          <t>Length</t>
        </is>
      </c>
      <c r="C17" s="3" t="inlineStr">
        <is>
          <t>349mm =13.7"</t>
        </is>
      </c>
      <c r="D17" s="3" t="inlineStr">
        <is>
          <t>349mm =13.7"</t>
        </is>
      </c>
    </row>
    <row r="18" ht="20" customHeight="1" s="31">
      <c r="B18" s="4" t="inlineStr">
        <is>
          <t>Weight</t>
        </is>
      </c>
      <c r="C18" s="3" t="inlineStr">
        <is>
          <t>765g =27oz</t>
        </is>
      </c>
      <c r="D18" s="3" t="inlineStr">
        <is>
          <t>765g =27oz</t>
        </is>
      </c>
    </row>
    <row r="19" ht="20" customHeight="1" s="31">
      <c r="B19" s="4" t="inlineStr">
        <is>
          <t>Side Focus</t>
        </is>
      </c>
      <c r="C19" s="3" t="inlineStr">
        <is>
          <t>15 Yards - ∞</t>
        </is>
      </c>
      <c r="D19" s="3" t="inlineStr">
        <is>
          <t>15 Yards - ∞</t>
        </is>
      </c>
    </row>
    <row r="20" ht="40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H15" sqref="H15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6"/>
  </cols>
  <sheetData>
    <row r="1" ht="15" customHeight="1" s="31"/>
    <row r="2" ht="15" customHeight="1" s="31"/>
    <row r="3" ht="20" customHeight="1" s="31">
      <c r="C3" s="15" t="inlineStr">
        <is>
          <t>FFP 4-32X56</t>
        </is>
      </c>
      <c r="D3" s="15" t="inlineStr">
        <is>
          <t>FFP 5-25X56</t>
        </is>
      </c>
      <c r="E3" s="15" t="inlineStr">
        <is>
          <t>FFP 5-30X56</t>
        </is>
      </c>
    </row>
    <row r="4" ht="20" customHeight="1" s="31">
      <c r="B4" s="15" t="inlineStr">
        <is>
          <t>Series</t>
        </is>
      </c>
      <c r="C4" s="15" t="inlineStr">
        <is>
          <t>Jupiter</t>
        </is>
      </c>
      <c r="D4" s="15" t="inlineStr">
        <is>
          <t>Venus</t>
        </is>
      </c>
      <c r="E4" s="15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4-32X</t>
        </is>
      </c>
      <c r="D5" s="4" t="inlineStr">
        <is>
          <t>5-25X</t>
        </is>
      </c>
      <c r="E5" s="4" t="inlineStr">
        <is>
          <t>5-30X</t>
        </is>
      </c>
    </row>
    <row r="6" ht="20" customHeight="1" s="31">
      <c r="B6" s="4" t="inlineStr">
        <is>
          <t>Focal Plane</t>
        </is>
      </c>
      <c r="C6" s="4" t="inlineStr">
        <is>
          <t>First Focal Plane</t>
        </is>
      </c>
      <c r="D6" s="4" t="inlineStr">
        <is>
          <t>First Focal Plane</t>
        </is>
      </c>
      <c r="E6" s="4" t="inlineStr">
        <is>
          <t>First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  <c r="E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34mm</t>
        </is>
      </c>
      <c r="D8" s="3" t="inlineStr">
        <is>
          <t>34mm</t>
        </is>
      </c>
      <c r="E8" s="3" t="inlineStr">
        <is>
          <t>34mm</t>
        </is>
      </c>
    </row>
    <row r="9" ht="20" customHeight="1" s="31">
      <c r="B9" s="4" t="inlineStr">
        <is>
          <t>Objective Lens Dia</t>
        </is>
      </c>
      <c r="C9" s="3" t="inlineStr">
        <is>
          <t>56mm</t>
        </is>
      </c>
      <c r="D9" s="3" t="inlineStr">
        <is>
          <t>56mm</t>
        </is>
      </c>
      <c r="E9" s="3" t="inlineStr">
        <is>
          <t>56mm</t>
        </is>
      </c>
    </row>
    <row r="10" ht="20" customHeight="1" s="31">
      <c r="B10" s="4" t="inlineStr">
        <is>
          <t>Angular Field of View</t>
        </is>
      </c>
      <c r="C10" s="3" t="inlineStr">
        <is>
          <t>6.25-0.78°</t>
        </is>
      </c>
      <c r="D10" s="3" t="inlineStr">
        <is>
          <t>5-1°</t>
        </is>
      </c>
      <c r="E10" s="3" t="inlineStr">
        <is>
          <t>5-0.83°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  <c r="E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32.7-4.08ft</t>
        </is>
      </c>
      <c r="D12" s="3" t="inlineStr">
        <is>
          <t>26.2-5.24ft</t>
        </is>
      </c>
      <c r="E12" s="3" t="inlineStr">
        <is>
          <t>26.2-4.36ft</t>
        </is>
      </c>
    </row>
    <row r="13" ht="20" customHeight="1" s="31">
      <c r="B13" s="4" t="inlineStr">
        <is>
          <t>linear FOV@100m</t>
        </is>
      </c>
      <c r="C13" s="3" t="inlineStr">
        <is>
          <t>10.9m-1.36m</t>
        </is>
      </c>
      <c r="D13" s="3" t="inlineStr">
        <is>
          <t>8.74m-1.75m</t>
        </is>
      </c>
      <c r="E13" s="3" t="inlineStr">
        <is>
          <t>8.74m-1.46m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3" t="inlineStr">
        <is>
          <t>91mm</t>
        </is>
      </c>
      <c r="E14" s="3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±23.3 MIL
Total: 46.5 MIL</t>
        </is>
      </c>
      <c r="D15" s="5" t="inlineStr">
        <is>
          <t>±23.3 MIL
Total: 46.5 MIL</t>
        </is>
      </c>
      <c r="E15" s="5" t="inlineStr">
        <is>
          <t>±23.3 MIL
Total: 46.5 MIL</t>
        </is>
      </c>
    </row>
    <row r="16" ht="30" customHeight="1" s="31">
      <c r="B16" s="7" t="inlineStr">
        <is>
          <t>Windage Range</t>
        </is>
      </c>
      <c r="C16" s="5" t="inlineStr">
        <is>
          <t>±11.6 MIL
Total: 23.3 MIL</t>
        </is>
      </c>
      <c r="D16" s="5" t="inlineStr">
        <is>
          <t>±11.6 MIL
Total: 23.3 MIL</t>
        </is>
      </c>
      <c r="E16" s="5" t="inlineStr">
        <is>
          <t>±11.6 MIL
Total: 23.3 MIL</t>
        </is>
      </c>
    </row>
    <row r="17" ht="20" customHeight="1" s="31">
      <c r="B17" s="4" t="inlineStr">
        <is>
          <t>Length</t>
        </is>
      </c>
      <c r="C17" s="3" t="inlineStr">
        <is>
          <t>375mm=14.76in</t>
        </is>
      </c>
      <c r="D17" s="3" t="inlineStr">
        <is>
          <t>375mm=14.76in</t>
        </is>
      </c>
      <c r="E17" s="3" t="inlineStr">
        <is>
          <t>375mm=14.76in</t>
        </is>
      </c>
    </row>
    <row r="18" ht="20" customHeight="1" s="31">
      <c r="B18" s="4" t="inlineStr">
        <is>
          <t>Weight</t>
        </is>
      </c>
      <c r="C18" s="3" t="inlineStr">
        <is>
          <t>880g=31oz</t>
        </is>
      </c>
      <c r="D18" s="3" t="inlineStr">
        <is>
          <t>875g=30.8oz</t>
        </is>
      </c>
      <c r="E18" s="3" t="inlineStr">
        <is>
          <t>880g=31oz</t>
        </is>
      </c>
    </row>
    <row r="19" ht="20" customHeight="1" s="31">
      <c r="B19" s="4" t="inlineStr">
        <is>
          <t>Side Focus</t>
        </is>
      </c>
      <c r="C19" s="3" t="inlineStr">
        <is>
          <t>30 Yards - ∞</t>
        </is>
      </c>
      <c r="D19" s="3" t="inlineStr">
        <is>
          <t>30 Yards - ∞</t>
        </is>
      </c>
      <c r="E19" s="3" t="inlineStr">
        <is>
          <t>30 Yards - ∞</t>
        </is>
      </c>
    </row>
    <row r="20" ht="39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  <c r="E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  <c r="E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  <c r="E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  <c r="E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  <c r="E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  <c r="E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I18" sqref="I18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6"/>
  </cols>
  <sheetData>
    <row r="1" ht="15" customHeight="1" s="31"/>
    <row r="2" ht="15" customHeight="1" s="31"/>
    <row r="3" ht="20" customHeight="1" s="31">
      <c r="C3" s="3" t="inlineStr">
        <is>
          <t>FFP 5-40X56</t>
        </is>
      </c>
      <c r="D3" s="3" t="inlineStr">
        <is>
          <t>FFP 6-36X56</t>
        </is>
      </c>
      <c r="E3" s="3" t="inlineStr">
        <is>
          <t>FFP 7-35X56</t>
        </is>
      </c>
    </row>
    <row r="4" ht="20" customHeight="1" s="31">
      <c r="B4" s="3" t="inlineStr">
        <is>
          <t>Series</t>
        </is>
      </c>
      <c r="C4" s="3" t="inlineStr">
        <is>
          <t>Jupiter</t>
        </is>
      </c>
      <c r="D4" s="3" t="inlineStr">
        <is>
          <t>Venus</t>
        </is>
      </c>
      <c r="E4" s="3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5-40X</t>
        </is>
      </c>
      <c r="D5" s="4" t="inlineStr">
        <is>
          <t>6-36X</t>
        </is>
      </c>
      <c r="E5" s="4" t="inlineStr">
        <is>
          <t>7-35X</t>
        </is>
      </c>
    </row>
    <row r="6" ht="20" customHeight="1" s="31">
      <c r="B6" s="4" t="inlineStr">
        <is>
          <t>Focal Plane</t>
        </is>
      </c>
      <c r="C6" s="4" t="inlineStr">
        <is>
          <t>First Focal Plane</t>
        </is>
      </c>
      <c r="D6" s="4" t="inlineStr">
        <is>
          <t>First Focal Plane</t>
        </is>
      </c>
      <c r="E6" s="4" t="inlineStr">
        <is>
          <t>First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  <c r="E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34mm</t>
        </is>
      </c>
      <c r="D8" s="3" t="inlineStr">
        <is>
          <t>34mm</t>
        </is>
      </c>
      <c r="E8" s="3" t="inlineStr">
        <is>
          <t>34mm</t>
        </is>
      </c>
    </row>
    <row r="9" ht="20" customHeight="1" s="31">
      <c r="B9" s="4" t="inlineStr">
        <is>
          <t>Objective Lens Dia</t>
        </is>
      </c>
      <c r="C9" s="3" t="inlineStr">
        <is>
          <t>56mm</t>
        </is>
      </c>
      <c r="D9" s="3" t="inlineStr">
        <is>
          <t>56mm</t>
        </is>
      </c>
      <c r="E9" s="3" t="inlineStr">
        <is>
          <t>56mm</t>
        </is>
      </c>
    </row>
    <row r="10" ht="20" customHeight="1" s="31">
      <c r="B10" s="4" t="inlineStr">
        <is>
          <t>Angular Field of View</t>
        </is>
      </c>
      <c r="C10" s="3" t="inlineStr">
        <is>
          <t>5-0.625°</t>
        </is>
      </c>
      <c r="D10" s="3" t="inlineStr">
        <is>
          <t>4.2-0.7°</t>
        </is>
      </c>
      <c r="E10" s="3" t="inlineStr">
        <is>
          <t>3.57°-0.71°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  <c r="E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26.2ft-3.27ft</t>
        </is>
      </c>
      <c r="D12" s="3" t="inlineStr">
        <is>
          <t>21.9-3.63ft</t>
        </is>
      </c>
      <c r="E12" s="3" t="inlineStr">
        <is>
          <t>18.646-3.74ft</t>
        </is>
      </c>
    </row>
    <row r="13" ht="20" customHeight="1" s="31">
      <c r="B13" s="4" t="inlineStr">
        <is>
          <t>linear FOV@100m</t>
        </is>
      </c>
      <c r="C13" s="5" t="inlineStr">
        <is>
          <t>8.73-1.1m</t>
        </is>
      </c>
      <c r="D13" s="3" t="inlineStr">
        <is>
          <t>7.30m–1.21m</t>
        </is>
      </c>
      <c r="E13" s="3" t="inlineStr">
        <is>
          <t>6.21m-1.25m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9" t="inlineStr">
        <is>
          <t>91mm</t>
        </is>
      </c>
      <c r="E14" s="9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±18.9 MIL
Total: 37.8 MIL</t>
        </is>
      </c>
      <c r="D15" s="5" t="inlineStr">
        <is>
          <t>±18.9 MIL
Total: 37.8 MIL</t>
        </is>
      </c>
      <c r="E15" s="5" t="inlineStr">
        <is>
          <t>±18.9 MIL
Total: 37.8 MIL</t>
        </is>
      </c>
    </row>
    <row r="16" ht="30" customHeight="1" s="31">
      <c r="B16" s="7" t="inlineStr">
        <is>
          <t>Windage Range</t>
        </is>
      </c>
      <c r="C16" s="5" t="inlineStr">
        <is>
          <t>±10.2 MIL
Total: 20.4 MIL</t>
        </is>
      </c>
      <c r="D16" s="5" t="inlineStr">
        <is>
          <t>±10.2 MIL
Total: 20.4 MIL</t>
        </is>
      </c>
      <c r="E16" s="5" t="inlineStr">
        <is>
          <t>±10.2 MIL
Total: 20.4 MIL</t>
        </is>
      </c>
    </row>
    <row r="17" ht="20" customHeight="1" s="31">
      <c r="B17" s="4" t="inlineStr">
        <is>
          <t>Length</t>
        </is>
      </c>
      <c r="C17" s="8" t="inlineStr">
        <is>
          <t>393mm/15.47in</t>
        </is>
      </c>
      <c r="D17" s="8" t="inlineStr">
        <is>
          <t>393mm/15.47in</t>
        </is>
      </c>
      <c r="E17" s="8" t="inlineStr">
        <is>
          <t>393mm/15.47in</t>
        </is>
      </c>
    </row>
    <row r="18" ht="20" customHeight="1" s="31">
      <c r="B18" s="4" t="inlineStr">
        <is>
          <t>Weight</t>
        </is>
      </c>
      <c r="C18" s="5" t="inlineStr">
        <is>
          <t>940g/33oz</t>
        </is>
      </c>
      <c r="D18" s="5" t="inlineStr">
        <is>
          <t>940g/33oz</t>
        </is>
      </c>
      <c r="E18" s="5" t="inlineStr">
        <is>
          <t>940g/33oz</t>
        </is>
      </c>
    </row>
    <row r="19" ht="20" customHeight="1" s="31">
      <c r="B19" s="4" t="inlineStr">
        <is>
          <t>Side Focus</t>
        </is>
      </c>
      <c r="C19" s="8" t="inlineStr">
        <is>
          <t>35yds-infinity</t>
        </is>
      </c>
      <c r="D19" s="8" t="inlineStr">
        <is>
          <t>35yds-infinity</t>
        </is>
      </c>
      <c r="E19" s="8" t="inlineStr">
        <is>
          <t>35yds-infinity</t>
        </is>
      </c>
    </row>
    <row r="20" ht="36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  <c r="E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  <c r="E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  <c r="E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  <c r="E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  <c r="E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  <c r="E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L16" sqref="L16"/>
    </sheetView>
  </sheetViews>
  <sheetFormatPr baseColWidth="8" defaultColWidth="9" defaultRowHeight="13.5"/>
  <cols>
    <col width="3.875" customWidth="1" style="31" min="1" max="1"/>
    <col width="17.75" customWidth="1" style="31" min="2" max="2"/>
    <col width="24.5" customWidth="1" style="31" min="3" max="3"/>
    <col width="20.625" customWidth="1" style="31" min="4" max="6"/>
  </cols>
  <sheetData>
    <row r="1" ht="15" customHeight="1" s="31"/>
    <row r="2" ht="15" customHeight="1" s="31"/>
    <row r="3" ht="20" customHeight="1" s="31">
      <c r="C3" s="3" t="inlineStr">
        <is>
          <t>FFP 5-40X60</t>
        </is>
      </c>
      <c r="D3" s="3" t="inlineStr">
        <is>
          <t>FFP 6-36X60</t>
        </is>
      </c>
      <c r="E3" s="3" t="inlineStr">
        <is>
          <t>FFP 7-35X60</t>
        </is>
      </c>
    </row>
    <row r="4" ht="20" customHeight="1" s="31">
      <c r="B4" s="3" t="inlineStr">
        <is>
          <t>Series</t>
        </is>
      </c>
      <c r="C4" s="3" t="inlineStr">
        <is>
          <t>Jupiter</t>
        </is>
      </c>
      <c r="D4" s="3" t="inlineStr">
        <is>
          <t>Venus</t>
        </is>
      </c>
      <c r="E4" s="3" t="inlineStr">
        <is>
          <t>Venus</t>
        </is>
      </c>
    </row>
    <row r="5" ht="20" customHeight="1" s="31">
      <c r="B5" s="4" t="inlineStr">
        <is>
          <t>Magnification</t>
        </is>
      </c>
      <c r="C5" s="4" t="inlineStr">
        <is>
          <t>5-40X</t>
        </is>
      </c>
      <c r="D5" s="4" t="inlineStr">
        <is>
          <t>6-36X</t>
        </is>
      </c>
      <c r="E5" s="4" t="inlineStr">
        <is>
          <t>7-35X</t>
        </is>
      </c>
    </row>
    <row r="6" ht="20" customHeight="1" s="31">
      <c r="B6" s="4" t="inlineStr">
        <is>
          <t>Focal Plane</t>
        </is>
      </c>
      <c r="C6" s="4" t="inlineStr">
        <is>
          <t>First Focal Plane</t>
        </is>
      </c>
      <c r="D6" s="4" t="inlineStr">
        <is>
          <t>First Focal Plane</t>
        </is>
      </c>
      <c r="E6" s="4" t="inlineStr">
        <is>
          <t>First Focal Plane</t>
        </is>
      </c>
    </row>
    <row r="7" ht="20" customHeight="1" s="31">
      <c r="B7" s="4" t="inlineStr">
        <is>
          <t>Lens Coating</t>
        </is>
      </c>
      <c r="C7" s="4" t="inlineStr">
        <is>
          <t>Fully Multi-coated</t>
        </is>
      </c>
      <c r="D7" s="4" t="inlineStr">
        <is>
          <t>Fully Multi-coated</t>
        </is>
      </c>
      <c r="E7" s="4" t="inlineStr">
        <is>
          <t>Fully Multi-coated</t>
        </is>
      </c>
    </row>
    <row r="8" ht="20" customHeight="1" s="31">
      <c r="B8" s="4" t="inlineStr">
        <is>
          <t>Tube Dia</t>
        </is>
      </c>
      <c r="C8" s="3" t="inlineStr">
        <is>
          <t>34mm</t>
        </is>
      </c>
      <c r="D8" s="3" t="inlineStr">
        <is>
          <t>34mm</t>
        </is>
      </c>
      <c r="E8" s="3" t="inlineStr">
        <is>
          <t>34mm</t>
        </is>
      </c>
    </row>
    <row r="9" ht="20" customHeight="1" s="31">
      <c r="B9" s="4" t="inlineStr">
        <is>
          <t>Objective Lens Dia</t>
        </is>
      </c>
      <c r="C9" s="3" t="inlineStr">
        <is>
          <t>60mm</t>
        </is>
      </c>
      <c r="D9" s="3" t="inlineStr">
        <is>
          <t>60mm</t>
        </is>
      </c>
      <c r="E9" s="3" t="inlineStr">
        <is>
          <t>60mm</t>
        </is>
      </c>
    </row>
    <row r="10" ht="20" customHeight="1" s="31">
      <c r="B10" s="4" t="inlineStr">
        <is>
          <t>Angular Field of View</t>
        </is>
      </c>
      <c r="C10" s="3" t="inlineStr">
        <is>
          <t>5-0.625°</t>
        </is>
      </c>
      <c r="D10" s="3" t="inlineStr">
        <is>
          <t>4.2-0.7°</t>
        </is>
      </c>
      <c r="E10" s="3" t="inlineStr">
        <is>
          <t>3.57°-0.71°</t>
        </is>
      </c>
    </row>
    <row r="11" ht="20" customHeight="1" s="31">
      <c r="B11" s="4" t="inlineStr">
        <is>
          <t>apparent FOV@1X</t>
        </is>
      </c>
      <c r="C11" s="3" t="inlineStr">
        <is>
          <t>25°</t>
        </is>
      </c>
      <c r="D11" s="3" t="inlineStr">
        <is>
          <t>25°</t>
        </is>
      </c>
      <c r="E11" s="3" t="inlineStr">
        <is>
          <t>25°</t>
        </is>
      </c>
    </row>
    <row r="12" ht="20" customHeight="1" s="31">
      <c r="B12" s="4" t="inlineStr">
        <is>
          <t>linear FOV@100yd</t>
        </is>
      </c>
      <c r="C12" s="3" t="inlineStr">
        <is>
          <t>26.2ft-3.27ft</t>
        </is>
      </c>
      <c r="D12" s="3" t="inlineStr">
        <is>
          <t>21.9-3.63ft</t>
        </is>
      </c>
      <c r="E12" s="3" t="inlineStr">
        <is>
          <t>18.646-3.74ft</t>
        </is>
      </c>
    </row>
    <row r="13" ht="20" customHeight="1" s="31">
      <c r="B13" s="4" t="inlineStr">
        <is>
          <t>linear FOV@100m</t>
        </is>
      </c>
      <c r="C13" s="5" t="inlineStr">
        <is>
          <t>8.73-1.1m</t>
        </is>
      </c>
      <c r="D13" s="3" t="inlineStr">
        <is>
          <t>7.30m–1.21m</t>
        </is>
      </c>
      <c r="E13" s="3" t="inlineStr">
        <is>
          <t>6.21m-1.25m</t>
        </is>
      </c>
    </row>
    <row r="14" ht="20" customHeight="1" s="31">
      <c r="B14" s="4" t="inlineStr">
        <is>
          <t>Eye Relief</t>
        </is>
      </c>
      <c r="C14" s="3" t="inlineStr">
        <is>
          <t>91mm</t>
        </is>
      </c>
      <c r="D14" s="9" t="inlineStr">
        <is>
          <t>91mm</t>
        </is>
      </c>
      <c r="E14" s="9" t="inlineStr">
        <is>
          <t>91mm</t>
        </is>
      </c>
    </row>
    <row r="15" ht="30" customHeight="1" s="31">
      <c r="B15" s="7" t="inlineStr">
        <is>
          <t>Elevation Range</t>
        </is>
      </c>
      <c r="C15" s="5" t="inlineStr">
        <is>
          <t>±18.9 MIL
Total: 37.8 MIL</t>
        </is>
      </c>
      <c r="D15" s="5" t="inlineStr">
        <is>
          <t>±18.9 MIL
Total: 37.8 MIL</t>
        </is>
      </c>
      <c r="E15" s="5" t="inlineStr">
        <is>
          <t>±18.9 MIL
Total: 37.8 MIL</t>
        </is>
      </c>
    </row>
    <row r="16" ht="30" customHeight="1" s="31">
      <c r="B16" s="7" t="inlineStr">
        <is>
          <t>Windage Range</t>
        </is>
      </c>
      <c r="C16" s="5" t="inlineStr">
        <is>
          <t>±10.2 MIL
Total: 20.4 MIL</t>
        </is>
      </c>
      <c r="D16" s="5" t="inlineStr">
        <is>
          <t>±10.2 MIL
Total: 20.4 MIL</t>
        </is>
      </c>
      <c r="E16" s="5" t="inlineStr">
        <is>
          <t>±10.2 MIL
Total: 20.4 MIL</t>
        </is>
      </c>
    </row>
    <row r="17" ht="20" customHeight="1" s="31">
      <c r="B17" s="4" t="inlineStr">
        <is>
          <t>Length</t>
        </is>
      </c>
      <c r="C17" s="8" t="inlineStr">
        <is>
          <t>393mm/15.47in</t>
        </is>
      </c>
      <c r="D17" s="8" t="inlineStr">
        <is>
          <t>393mm/15.47in</t>
        </is>
      </c>
      <c r="E17" s="8" t="inlineStr">
        <is>
          <t>393mm/15.47in</t>
        </is>
      </c>
    </row>
    <row r="18" ht="20" customHeight="1" s="31">
      <c r="B18" s="4" t="inlineStr">
        <is>
          <t>Weight</t>
        </is>
      </c>
      <c r="C18" s="5" t="inlineStr">
        <is>
          <t>940g/33oz</t>
        </is>
      </c>
      <c r="D18" s="5" t="inlineStr">
        <is>
          <t>940g/33oz</t>
        </is>
      </c>
      <c r="E18" s="5" t="inlineStr">
        <is>
          <t>940g/33oz</t>
        </is>
      </c>
    </row>
    <row r="19" ht="20" customHeight="1" s="31">
      <c r="B19" s="4" t="inlineStr">
        <is>
          <t>Side Focus</t>
        </is>
      </c>
      <c r="C19" s="8" t="inlineStr">
        <is>
          <t>35yds-infinity</t>
        </is>
      </c>
      <c r="D19" s="8" t="inlineStr">
        <is>
          <t>35yds-infinity</t>
        </is>
      </c>
      <c r="E19" s="8" t="inlineStr">
        <is>
          <t>35yds-infinity</t>
        </is>
      </c>
    </row>
    <row r="20" ht="36" customHeight="1" s="31">
      <c r="B20" s="4" t="inlineStr">
        <is>
          <t>Turret Function</t>
        </is>
      </c>
      <c r="C20" s="9" t="inlineStr">
        <is>
          <t>Locking Turret
Zero Stop</t>
        </is>
      </c>
      <c r="D20" s="9" t="inlineStr">
        <is>
          <t>Locking Turret
Zero Stop</t>
        </is>
      </c>
      <c r="E20" s="9" t="inlineStr">
        <is>
          <t>Locking Turret
Zero Stop</t>
        </is>
      </c>
    </row>
    <row r="21" ht="39" customHeight="1" s="31">
      <c r="B21" s="3" t="inlineStr">
        <is>
          <t>Click Value</t>
        </is>
      </c>
      <c r="C21" s="3" t="inlineStr">
        <is>
          <t>1/4 MOA or 0.1 MIL</t>
        </is>
      </c>
      <c r="D21" s="3" t="inlineStr">
        <is>
          <t>1/4 MOA or 0.1 MIL</t>
        </is>
      </c>
      <c r="E21" s="3" t="inlineStr">
        <is>
          <t>1/4 MOA or 0.1 MIL</t>
        </is>
      </c>
    </row>
    <row r="22" ht="20" customHeight="1" s="31">
      <c r="B22" s="3" t="inlineStr">
        <is>
          <t>Diopter</t>
        </is>
      </c>
      <c r="C22" s="30" t="inlineStr">
        <is>
          <t>-3to+2</t>
        </is>
      </c>
      <c r="D22" s="30" t="inlineStr">
        <is>
          <t>-3to+2</t>
        </is>
      </c>
      <c r="E22" s="30" t="inlineStr">
        <is>
          <t>-3to+2</t>
        </is>
      </c>
    </row>
    <row r="23" ht="20" customHeight="1" s="31">
      <c r="B23" s="3" t="inlineStr">
        <is>
          <t>Waterproof</t>
        </is>
      </c>
      <c r="C23" s="3" t="inlineStr">
        <is>
          <t>IP67</t>
        </is>
      </c>
      <c r="D23" s="3" t="inlineStr">
        <is>
          <t>IP67</t>
        </is>
      </c>
      <c r="E23" s="3" t="inlineStr">
        <is>
          <t>IP67</t>
        </is>
      </c>
    </row>
    <row r="24" ht="20" customHeight="1" s="31">
      <c r="B24" s="3" t="inlineStr">
        <is>
          <t>Shockproof</t>
        </is>
      </c>
      <c r="C24" s="3" t="inlineStr">
        <is>
          <t>1000G</t>
        </is>
      </c>
      <c r="D24" s="3" t="inlineStr">
        <is>
          <t>1000G</t>
        </is>
      </c>
      <c r="E24" s="3" t="inlineStr">
        <is>
          <t>1000G</t>
        </is>
      </c>
    </row>
    <row r="25" ht="20" customHeight="1" s="31">
      <c r="B25" s="3" t="inlineStr">
        <is>
          <t>Fogproof</t>
        </is>
      </c>
      <c r="C25" s="3" t="inlineStr">
        <is>
          <t>Nitrogen Filled</t>
        </is>
      </c>
      <c r="D25" s="3" t="inlineStr">
        <is>
          <t>Nitrogen Filled</t>
        </is>
      </c>
      <c r="E25" s="3" t="inlineStr">
        <is>
          <t>Nitrogen Filled</t>
        </is>
      </c>
    </row>
    <row r="26">
      <c r="B26" s="10" t="n"/>
      <c r="C26" s="10" t="n"/>
      <c r="D26" s="10" t="n"/>
    </row>
    <row r="27">
      <c r="B27" s="10" t="n"/>
      <c r="C27" s="10" t="n"/>
      <c r="D27" s="10" t="n"/>
    </row>
    <row r="28">
      <c r="B28" s="10" t="n"/>
      <c r="C28" s="11" t="n"/>
      <c r="D28" s="11" t="n"/>
    </row>
    <row r="29">
      <c r="B29" s="10" t="n"/>
      <c r="C29" s="10" t="n"/>
      <c r="D29" s="10" t="n"/>
    </row>
    <row r="30">
      <c r="B30" s="10" t="n"/>
      <c r="C30" s="10" t="n"/>
      <c r="D30" s="10" t="n"/>
    </row>
    <row r="31">
      <c r="B31" s="10" t="n"/>
      <c r="C31" s="10" t="n"/>
      <c r="D31" s="10" t="n"/>
    </row>
    <row r="32">
      <c r="B32" s="10" t="n"/>
      <c r="C32" s="10" t="n"/>
      <c r="D32" s="10" t="n"/>
    </row>
  </sheetData>
  <pageMargins left="0.75" right="0.75" top="0.236111111111111" bottom="0.196527777777778" header="0.196527777777778" footer="0.156944444444444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hai'bei'x</dc:creator>
  <dcterms:created xmlns:dcterms="http://purl.org/dc/terms/" xmlns:xsi="http://www.w3.org/2001/XMLSchema-instance" xsi:type="dcterms:W3CDTF">2025-12-29T06:47:00Z</dcterms:created>
  <dcterms:modified xmlns:dcterms="http://purl.org/dc/terms/" xmlns:xsi="http://www.w3.org/2001/XMLSchema-instance" xsi:type="dcterms:W3CDTF">2026-04-18T07:59:42Z</dcterms:modified>
  <cp:lastModifiedBy>XHB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A7DC3015ECD0412BBC79CB14578BF0E6_13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1</vt:i4>
  </property>
</Properties>
</file>